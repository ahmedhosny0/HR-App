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filterPrivacy="1" defaultThemeVersion="124226"/>
  <xr:revisionPtr revIDLastSave="0" documentId="13_ncr:1_{04DE6B99-A6FD-489F-9D5D-DACBC35D9A25}" xr6:coauthVersionLast="43" xr6:coauthVersionMax="43" xr10:uidLastSave="{00000000-0000-0000-0000-000000000000}"/>
  <bookViews>
    <workbookView xWindow="-108" yWindow="-108" windowWidth="23256" windowHeight="12456" tabRatio="599" firstSheet="2" activeTab="2" xr2:uid="{00000000-000D-0000-FFFF-FFFF00000000}"/>
  </bookViews>
  <sheets>
    <sheet name="Sales Growth %" sheetId="1" state="hidden" r:id="rId1"/>
    <sheet name="Share of Month" sheetId="2" state="hidden" r:id="rId2"/>
    <sheet name="Budget 2026 per month" sheetId="3" r:id="rId3"/>
    <sheet name="Sheet1" sheetId="10" state="hidden" r:id="rId4"/>
    <sheet name="Sheet3" sheetId="12" state="hidden" r:id="rId5"/>
    <sheet name="Sheet4" sheetId="13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2" hidden="1">'Budget 2026 per month'!$A$3:$O$96</definedName>
    <definedName name="_xlnm._FilterDatabase" localSheetId="0" hidden="1">'Sales Growth %'!$A$1:$Q$99</definedName>
    <definedName name="_xlnm._FilterDatabase" localSheetId="5" hidden="1">Sheet4!$A$3:$AV$94</definedName>
  </definedNames>
  <calcPr calcId="191029"/>
</workbook>
</file>

<file path=xl/calcChain.xml><?xml version="1.0" encoding="utf-8"?>
<calcChain xmlns="http://schemas.openxmlformats.org/spreadsheetml/2006/main">
  <c r="BJ5" i="13" l="1"/>
  <c r="BJ6" i="13"/>
  <c r="BJ7" i="13"/>
  <c r="BJ8" i="13"/>
  <c r="BJ9" i="13"/>
  <c r="BJ10" i="13"/>
  <c r="BJ12" i="13"/>
  <c r="BJ13" i="13"/>
  <c r="BJ14" i="13"/>
  <c r="BJ15" i="13"/>
  <c r="BJ16" i="13"/>
  <c r="BJ17" i="13"/>
  <c r="BJ18" i="13"/>
  <c r="BJ19" i="13"/>
  <c r="BJ20" i="13"/>
  <c r="BJ21" i="13"/>
  <c r="BJ22" i="13"/>
  <c r="BJ23" i="13"/>
  <c r="BJ25" i="13"/>
  <c r="BJ26" i="13"/>
  <c r="BJ27" i="13"/>
  <c r="BJ28" i="13"/>
  <c r="BJ29" i="13"/>
  <c r="BJ30" i="13"/>
  <c r="BJ31" i="13"/>
  <c r="BJ32" i="13"/>
  <c r="BJ33" i="13"/>
  <c r="BJ34" i="13"/>
  <c r="BJ35" i="13"/>
  <c r="BJ36" i="13"/>
  <c r="BJ37" i="13"/>
  <c r="BJ38" i="13"/>
  <c r="BJ39" i="13"/>
  <c r="BJ40" i="13"/>
  <c r="BJ41" i="13"/>
  <c r="BJ42" i="13"/>
  <c r="BJ43" i="13"/>
  <c r="BJ44" i="13"/>
  <c r="BJ45" i="13"/>
  <c r="BJ46" i="13"/>
  <c r="BJ48" i="13"/>
  <c r="BJ49" i="13"/>
  <c r="BJ50" i="13"/>
  <c r="BJ51" i="13"/>
  <c r="BJ52" i="13"/>
  <c r="BJ53" i="13"/>
  <c r="BJ54" i="13"/>
  <c r="BJ55" i="13"/>
  <c r="BJ57" i="13"/>
  <c r="BJ59" i="13"/>
  <c r="BJ60" i="13"/>
  <c r="BJ61" i="13"/>
  <c r="BJ62" i="13"/>
  <c r="BJ63" i="13"/>
  <c r="BJ64" i="13"/>
  <c r="BJ65" i="13"/>
  <c r="BJ66" i="13"/>
  <c r="BJ67" i="13"/>
  <c r="BJ68" i="13"/>
  <c r="BJ69" i="13"/>
  <c r="BJ70" i="13"/>
  <c r="BJ71" i="13"/>
  <c r="BJ72" i="13"/>
  <c r="BJ73" i="13"/>
  <c r="BJ74" i="13"/>
  <c r="BJ75" i="13"/>
  <c r="BJ76" i="13"/>
  <c r="BJ77" i="13"/>
  <c r="BJ78" i="13"/>
  <c r="BJ79" i="13"/>
  <c r="BJ80" i="13"/>
  <c r="BJ81" i="13"/>
  <c r="BJ84" i="13"/>
  <c r="BJ85" i="13"/>
  <c r="BJ86" i="13"/>
  <c r="BJ87" i="13"/>
  <c r="BJ88" i="13"/>
  <c r="BJ89" i="13"/>
  <c r="BJ90" i="13"/>
  <c r="BJ91" i="13"/>
  <c r="BJ92" i="13"/>
  <c r="BJ4" i="13"/>
  <c r="BI11" i="13"/>
  <c r="BI56" i="13"/>
  <c r="BI83" i="13"/>
  <c r="BF5" i="13"/>
  <c r="BF6" i="13"/>
  <c r="BF7" i="13"/>
  <c r="BF8" i="13"/>
  <c r="BF9" i="13"/>
  <c r="BF10" i="13"/>
  <c r="BF12" i="13"/>
  <c r="BF13" i="13"/>
  <c r="BF14" i="13"/>
  <c r="BF15" i="13"/>
  <c r="BF16" i="13"/>
  <c r="BF17" i="13"/>
  <c r="BF18" i="13"/>
  <c r="BF19" i="13"/>
  <c r="BF20" i="13"/>
  <c r="BF21" i="13"/>
  <c r="BF22" i="13"/>
  <c r="BF23" i="13"/>
  <c r="BF25" i="13"/>
  <c r="BF26" i="13"/>
  <c r="BF27" i="13"/>
  <c r="BF28" i="13"/>
  <c r="BF29" i="13"/>
  <c r="BF30" i="13"/>
  <c r="BF31" i="13"/>
  <c r="BF32" i="13"/>
  <c r="BF33" i="13"/>
  <c r="BF34" i="13"/>
  <c r="BF35" i="13"/>
  <c r="BF36" i="13"/>
  <c r="BF37" i="13"/>
  <c r="BF38" i="13"/>
  <c r="BF39" i="13"/>
  <c r="BF40" i="13"/>
  <c r="BF41" i="13"/>
  <c r="BF42" i="13"/>
  <c r="BF43" i="13"/>
  <c r="BF44" i="13"/>
  <c r="BF45" i="13"/>
  <c r="BF46" i="13"/>
  <c r="BF48" i="13"/>
  <c r="BF49" i="13"/>
  <c r="BF50" i="13"/>
  <c r="BF51" i="13"/>
  <c r="BF52" i="13"/>
  <c r="BF55" i="13"/>
  <c r="BF57" i="13"/>
  <c r="BF59" i="13"/>
  <c r="BF60" i="13"/>
  <c r="BF61" i="13"/>
  <c r="BF62" i="13"/>
  <c r="BF63" i="13"/>
  <c r="BF64" i="13"/>
  <c r="BF65" i="13"/>
  <c r="BF66" i="13"/>
  <c r="BF67" i="13"/>
  <c r="BF68" i="13"/>
  <c r="BF69" i="13"/>
  <c r="BF70" i="13"/>
  <c r="BF71" i="13"/>
  <c r="BF72" i="13"/>
  <c r="BF73" i="13"/>
  <c r="BF74" i="13"/>
  <c r="BF75" i="13"/>
  <c r="BF76" i="13"/>
  <c r="BF77" i="13"/>
  <c r="BF78" i="13"/>
  <c r="BF79" i="13"/>
  <c r="BF80" i="13"/>
  <c r="BF81" i="13"/>
  <c r="BF84" i="13"/>
  <c r="BF85" i="13"/>
  <c r="BF86" i="13"/>
  <c r="BF87" i="13"/>
  <c r="BF88" i="13"/>
  <c r="BF89" i="13"/>
  <c r="BF90" i="13"/>
  <c r="BF91" i="13"/>
  <c r="BF92" i="13"/>
  <c r="BF4" i="13"/>
  <c r="BE11" i="13"/>
  <c r="BE56" i="13"/>
  <c r="BE80" i="13"/>
  <c r="BE81" i="13"/>
  <c r="BE82" i="13"/>
  <c r="BE83" i="13"/>
  <c r="BD5" i="13"/>
  <c r="BD6" i="13"/>
  <c r="BD7" i="13"/>
  <c r="BD8" i="13"/>
  <c r="BD9" i="13"/>
  <c r="BD10" i="13"/>
  <c r="BD12" i="13"/>
  <c r="BD13" i="13"/>
  <c r="BD14" i="13"/>
  <c r="BD15" i="13"/>
  <c r="BD16" i="13"/>
  <c r="BD17" i="13"/>
  <c r="BD18" i="13"/>
  <c r="BD19" i="13"/>
  <c r="BD20" i="13"/>
  <c r="BD21" i="13"/>
  <c r="BD22" i="13"/>
  <c r="BD23" i="13"/>
  <c r="BD25" i="13"/>
  <c r="BD26" i="13"/>
  <c r="BD27" i="13"/>
  <c r="BD28" i="13"/>
  <c r="BD29" i="13"/>
  <c r="BD30" i="13"/>
  <c r="BD31" i="13"/>
  <c r="BD32" i="13"/>
  <c r="BD33" i="13"/>
  <c r="BD34" i="13"/>
  <c r="BD35" i="13"/>
  <c r="BD36" i="13"/>
  <c r="BD37" i="13"/>
  <c r="BD38" i="13"/>
  <c r="BD39" i="13"/>
  <c r="BD40" i="13"/>
  <c r="BD41" i="13"/>
  <c r="BD42" i="13"/>
  <c r="BD43" i="13"/>
  <c r="BD44" i="13"/>
  <c r="BD45" i="13"/>
  <c r="BD46" i="13"/>
  <c r="BD48" i="13"/>
  <c r="BD49" i="13"/>
  <c r="BD50" i="13"/>
  <c r="BD51" i="13"/>
  <c r="BD52" i="13"/>
  <c r="BD53" i="13"/>
  <c r="BD54" i="13"/>
  <c r="BD55" i="13"/>
  <c r="BD57" i="13"/>
  <c r="BD59" i="13"/>
  <c r="BD60" i="13"/>
  <c r="BD61" i="13"/>
  <c r="BD62" i="13"/>
  <c r="BD63" i="13"/>
  <c r="BD64" i="13"/>
  <c r="BD65" i="13"/>
  <c r="BD66" i="13"/>
  <c r="BD67" i="13"/>
  <c r="BD68" i="13"/>
  <c r="BD69" i="13"/>
  <c r="BD70" i="13"/>
  <c r="BD71" i="13"/>
  <c r="BD72" i="13"/>
  <c r="BD73" i="13"/>
  <c r="BD74" i="13"/>
  <c r="BD75" i="13"/>
  <c r="BD76" i="13"/>
  <c r="BD77" i="13"/>
  <c r="BD78" i="13"/>
  <c r="BD79" i="13"/>
  <c r="BD84" i="13"/>
  <c r="BD85" i="13"/>
  <c r="BD86" i="13"/>
  <c r="BD87" i="13"/>
  <c r="BD88" i="13"/>
  <c r="BD89" i="13"/>
  <c r="BD90" i="13"/>
  <c r="BD91" i="13"/>
  <c r="BD92" i="13"/>
  <c r="BD4" i="13"/>
  <c r="BA11" i="13"/>
  <c r="BA25" i="13"/>
  <c r="BA47" i="13"/>
  <c r="BA56" i="13"/>
  <c r="BA80" i="13"/>
  <c r="BA81" i="13"/>
  <c r="BA82" i="13"/>
  <c r="BA83" i="13"/>
  <c r="BB5" i="12"/>
  <c r="BB6" i="12"/>
  <c r="BB7" i="12"/>
  <c r="BB8" i="12"/>
  <c r="BB9" i="12"/>
  <c r="BB10" i="12"/>
  <c r="BB12" i="12"/>
  <c r="BB13" i="12"/>
  <c r="BB14" i="12"/>
  <c r="BB15" i="12"/>
  <c r="BB16" i="12"/>
  <c r="BB17" i="12"/>
  <c r="BB18" i="12"/>
  <c r="BB19" i="12"/>
  <c r="BB20" i="12"/>
  <c r="BB21" i="12"/>
  <c r="BB22" i="12"/>
  <c r="BB23" i="12"/>
  <c r="BB26" i="12"/>
  <c r="BB27" i="12"/>
  <c r="BB28" i="12"/>
  <c r="BB29" i="12"/>
  <c r="BB30" i="12"/>
  <c r="BB31" i="12"/>
  <c r="BB32" i="12"/>
  <c r="BB33" i="12"/>
  <c r="BB34" i="12"/>
  <c r="BB35" i="12"/>
  <c r="BB36" i="12"/>
  <c r="BB37" i="12"/>
  <c r="BB38" i="12"/>
  <c r="BB39" i="12"/>
  <c r="BB40" i="12"/>
  <c r="BB41" i="12"/>
  <c r="BB42" i="12"/>
  <c r="BB43" i="12"/>
  <c r="BB44" i="12"/>
  <c r="BB45" i="12"/>
  <c r="BB46" i="12"/>
  <c r="BB48" i="12"/>
  <c r="BB49" i="12"/>
  <c r="BB50" i="12"/>
  <c r="BB51" i="12"/>
  <c r="BB52" i="12"/>
  <c r="BB53" i="12"/>
  <c r="BB54" i="12"/>
  <c r="BB55" i="12"/>
  <c r="BB57" i="12"/>
  <c r="BB59" i="12"/>
  <c r="BB60" i="12"/>
  <c r="BB61" i="12"/>
  <c r="BB62" i="12"/>
  <c r="BB63" i="12"/>
  <c r="BB64" i="12"/>
  <c r="BB65" i="12"/>
  <c r="BB66" i="12"/>
  <c r="BB67" i="12"/>
  <c r="BB68" i="12"/>
  <c r="BB69" i="12"/>
  <c r="BB70" i="12"/>
  <c r="BB71" i="12"/>
  <c r="BB72" i="12"/>
  <c r="BB73" i="12"/>
  <c r="BB74" i="12"/>
  <c r="BB75" i="12"/>
  <c r="BB76" i="12"/>
  <c r="BB77" i="12"/>
  <c r="BB78" i="12"/>
  <c r="BB79" i="12"/>
  <c r="BB84" i="12"/>
  <c r="BB85" i="12"/>
  <c r="BB86" i="12"/>
  <c r="BB87" i="12"/>
  <c r="BB88" i="12"/>
  <c r="BB89" i="12"/>
  <c r="BB90" i="12"/>
  <c r="BB91" i="12"/>
  <c r="BB92" i="12"/>
  <c r="BB4" i="12"/>
  <c r="BA11" i="12"/>
  <c r="BC11" i="12" s="1"/>
  <c r="BA25" i="12"/>
  <c r="BC25" i="12" s="1"/>
  <c r="BA47" i="12"/>
  <c r="BC47" i="12" s="1"/>
  <c r="BA56" i="12"/>
  <c r="BC56" i="12" s="1"/>
  <c r="BA80" i="12"/>
  <c r="BC80" i="12" s="1"/>
  <c r="BA81" i="12"/>
  <c r="BC81" i="12" s="1"/>
  <c r="BA82" i="12"/>
  <c r="BC82" i="12" s="1"/>
  <c r="BA83" i="12"/>
  <c r="BC83" i="12" s="1"/>
  <c r="AX5" i="12"/>
  <c r="AX6" i="12"/>
  <c r="AX7" i="12"/>
  <c r="AX8" i="12"/>
  <c r="AX9" i="12"/>
  <c r="AX10" i="12"/>
  <c r="AX12" i="12"/>
  <c r="AX13" i="12"/>
  <c r="AX14" i="12"/>
  <c r="AX15" i="12"/>
  <c r="AX16" i="12"/>
  <c r="AX17" i="12"/>
  <c r="AX18" i="12"/>
  <c r="AX19" i="12"/>
  <c r="AX20" i="12"/>
  <c r="AX21" i="12"/>
  <c r="AX22" i="12"/>
  <c r="AX23" i="12"/>
  <c r="AX26" i="12"/>
  <c r="AX27" i="12"/>
  <c r="AX28" i="12"/>
  <c r="AX29" i="12"/>
  <c r="AX30" i="12"/>
  <c r="AX31" i="12"/>
  <c r="AX32" i="12"/>
  <c r="AX33" i="12"/>
  <c r="AX34" i="12"/>
  <c r="AX35" i="12"/>
  <c r="AX36" i="12"/>
  <c r="AX37" i="12"/>
  <c r="AX38" i="12"/>
  <c r="AX39" i="12"/>
  <c r="AX40" i="12"/>
  <c r="AX41" i="12"/>
  <c r="AX42" i="12"/>
  <c r="AX43" i="12"/>
  <c r="AX44" i="12"/>
  <c r="AX45" i="12"/>
  <c r="AX46" i="12"/>
  <c r="AX48" i="12"/>
  <c r="AX49" i="12"/>
  <c r="AX50" i="12"/>
  <c r="AX51" i="12"/>
  <c r="AX52" i="12"/>
  <c r="AX53" i="12"/>
  <c r="AX54" i="12"/>
  <c r="AX55" i="12"/>
  <c r="AX57" i="12"/>
  <c r="AX59" i="12"/>
  <c r="AX60" i="12"/>
  <c r="AX61" i="12"/>
  <c r="AX62" i="12"/>
  <c r="AX63" i="12"/>
  <c r="AX64" i="12"/>
  <c r="AX65" i="12"/>
  <c r="AX66" i="12"/>
  <c r="AX67" i="12"/>
  <c r="AX68" i="12"/>
  <c r="AX69" i="12"/>
  <c r="AX70" i="12"/>
  <c r="AX71" i="12"/>
  <c r="AX72" i="12"/>
  <c r="AX73" i="12"/>
  <c r="AX74" i="12"/>
  <c r="AX75" i="12"/>
  <c r="AX76" i="12"/>
  <c r="AX77" i="12"/>
  <c r="AX78" i="12"/>
  <c r="AX79" i="12"/>
  <c r="AX84" i="12"/>
  <c r="AX85" i="12"/>
  <c r="AX86" i="12"/>
  <c r="AX87" i="12"/>
  <c r="AX88" i="12"/>
  <c r="AX89" i="12"/>
  <c r="AX90" i="12"/>
  <c r="AX91" i="12"/>
  <c r="AX92" i="12"/>
  <c r="AX4" i="12"/>
  <c r="AW11" i="12"/>
  <c r="AY11" i="12" s="1"/>
  <c r="AW25" i="12"/>
  <c r="AY25" i="12" s="1"/>
  <c r="AW47" i="12"/>
  <c r="AY47" i="12" s="1"/>
  <c r="AW56" i="12"/>
  <c r="AY56" i="12" s="1"/>
  <c r="AW80" i="12"/>
  <c r="AY80" i="12" s="1"/>
  <c r="AW81" i="12"/>
  <c r="AY81" i="12" s="1"/>
  <c r="AW82" i="12"/>
  <c r="AY82" i="12" s="1"/>
  <c r="AW83" i="12"/>
  <c r="AY83" i="12" s="1"/>
  <c r="AV5" i="12"/>
  <c r="AV6" i="12"/>
  <c r="AV7" i="12"/>
  <c r="AV8" i="12"/>
  <c r="AV9" i="12"/>
  <c r="AV10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6" i="12"/>
  <c r="AV27" i="12"/>
  <c r="AV28" i="12"/>
  <c r="AV29" i="12"/>
  <c r="AV30" i="12"/>
  <c r="AV31" i="12"/>
  <c r="AV32" i="12"/>
  <c r="AV33" i="12"/>
  <c r="AV34" i="12"/>
  <c r="AV35" i="12"/>
  <c r="AV36" i="12"/>
  <c r="AV37" i="12"/>
  <c r="AV38" i="12"/>
  <c r="AV39" i="12"/>
  <c r="AV40" i="12"/>
  <c r="AV41" i="12"/>
  <c r="AV42" i="12"/>
  <c r="AV43" i="12"/>
  <c r="AV44" i="12"/>
  <c r="AV45" i="12"/>
  <c r="AV46" i="12"/>
  <c r="AV48" i="12"/>
  <c r="AV49" i="12"/>
  <c r="AV50" i="12"/>
  <c r="AV51" i="12"/>
  <c r="AV52" i="12"/>
  <c r="AV53" i="12"/>
  <c r="AV54" i="12"/>
  <c r="AV55" i="12"/>
  <c r="AV57" i="12"/>
  <c r="AV59" i="12"/>
  <c r="AV60" i="12"/>
  <c r="AV61" i="12"/>
  <c r="AV62" i="12"/>
  <c r="AV63" i="12"/>
  <c r="AV64" i="12"/>
  <c r="AV65" i="12"/>
  <c r="AV66" i="12"/>
  <c r="AV67" i="12"/>
  <c r="AV68" i="12"/>
  <c r="AV69" i="12"/>
  <c r="AV70" i="12"/>
  <c r="AV71" i="12"/>
  <c r="AV72" i="12"/>
  <c r="AV73" i="12"/>
  <c r="AV74" i="12"/>
  <c r="AV75" i="12"/>
  <c r="AV76" i="12"/>
  <c r="AV77" i="12"/>
  <c r="AV78" i="12"/>
  <c r="AV79" i="12"/>
  <c r="AV84" i="12"/>
  <c r="AV85" i="12"/>
  <c r="AV86" i="12"/>
  <c r="AV87" i="12"/>
  <c r="AV88" i="12"/>
  <c r="AV89" i="12"/>
  <c r="AV90" i="12"/>
  <c r="AV91" i="12"/>
  <c r="AV92" i="12"/>
  <c r="AV4" i="12"/>
  <c r="AI129" i="13" l="1"/>
  <c r="AF129" i="13"/>
  <c r="AC129" i="13"/>
  <c r="Z129" i="13"/>
  <c r="W129" i="13"/>
  <c r="T129" i="13"/>
  <c r="Q129" i="13"/>
  <c r="N129" i="13"/>
  <c r="K129" i="13"/>
  <c r="H129" i="13"/>
  <c r="E129" i="13"/>
  <c r="AF127" i="13"/>
  <c r="AL125" i="13"/>
  <c r="AJ125" i="13"/>
  <c r="AI125" i="13"/>
  <c r="AG125" i="13"/>
  <c r="AF125" i="13"/>
  <c r="AD125" i="13"/>
  <c r="AC125" i="13"/>
  <c r="AA125" i="13"/>
  <c r="Z125" i="13"/>
  <c r="Z127" i="13" s="1"/>
  <c r="X125" i="13"/>
  <c r="W125" i="13"/>
  <c r="W127" i="13" s="1"/>
  <c r="U125" i="13"/>
  <c r="T125" i="13"/>
  <c r="T127" i="13" s="1"/>
  <c r="R125" i="13"/>
  <c r="Q125" i="13"/>
  <c r="Q127" i="13" s="1"/>
  <c r="O125" i="13"/>
  <c r="N125" i="13"/>
  <c r="L125" i="13"/>
  <c r="K125" i="13"/>
  <c r="I125" i="13"/>
  <c r="H125" i="13"/>
  <c r="F125" i="13"/>
  <c r="E125" i="13"/>
  <c r="C125" i="13"/>
  <c r="AR94" i="13"/>
  <c r="AP93" i="13"/>
  <c r="AK93" i="13"/>
  <c r="AL93" i="13" s="1"/>
  <c r="AH93" i="13"/>
  <c r="AI93" i="13" s="1"/>
  <c r="AE93" i="13"/>
  <c r="AF93" i="13" s="1"/>
  <c r="AB93" i="13"/>
  <c r="AC93" i="13" s="1"/>
  <c r="Y93" i="13"/>
  <c r="Z93" i="13" s="1"/>
  <c r="U93" i="13"/>
  <c r="V93" i="13" s="1"/>
  <c r="W93" i="13" s="1"/>
  <c r="J93" i="13"/>
  <c r="K93" i="13" s="1"/>
  <c r="G93" i="13"/>
  <c r="H93" i="13" s="1"/>
  <c r="C93" i="13"/>
  <c r="D93" i="13" s="1"/>
  <c r="E93" i="13" s="1"/>
  <c r="AP92" i="13"/>
  <c r="AJ92" i="13"/>
  <c r="AG92" i="13"/>
  <c r="AH92" i="13" s="1"/>
  <c r="AI92" i="13" s="1"/>
  <c r="AD92" i="13"/>
  <c r="AE92" i="13" s="1"/>
  <c r="AF92" i="13" s="1"/>
  <c r="AA92" i="13"/>
  <c r="AB92" i="13" s="1"/>
  <c r="AC92" i="13" s="1"/>
  <c r="X92" i="13"/>
  <c r="Y92" i="13" s="1"/>
  <c r="Z92" i="13" s="1"/>
  <c r="U92" i="13"/>
  <c r="V92" i="13" s="1"/>
  <c r="W92" i="13" s="1"/>
  <c r="J92" i="13"/>
  <c r="K92" i="13" s="1"/>
  <c r="G92" i="13"/>
  <c r="H92" i="13" s="1"/>
  <c r="C92" i="13"/>
  <c r="D92" i="13" s="1"/>
  <c r="E92" i="13" s="1"/>
  <c r="AP91" i="13"/>
  <c r="AJ91" i="13"/>
  <c r="AG91" i="13"/>
  <c r="AH91" i="13" s="1"/>
  <c r="AI91" i="13" s="1"/>
  <c r="AD91" i="13"/>
  <c r="AE91" i="13" s="1"/>
  <c r="AF91" i="13" s="1"/>
  <c r="AA91" i="13"/>
  <c r="AB91" i="13" s="1"/>
  <c r="AC91" i="13" s="1"/>
  <c r="X91" i="13"/>
  <c r="Y91" i="13" s="1"/>
  <c r="Z91" i="13" s="1"/>
  <c r="U91" i="13"/>
  <c r="V91" i="13" s="1"/>
  <c r="W91" i="13" s="1"/>
  <c r="J91" i="13"/>
  <c r="K91" i="13" s="1"/>
  <c r="G91" i="13"/>
  <c r="H91" i="13" s="1"/>
  <c r="C91" i="13"/>
  <c r="D91" i="13" s="1"/>
  <c r="E91" i="13" s="1"/>
  <c r="AP90" i="13"/>
  <c r="AJ90" i="13"/>
  <c r="AG90" i="13"/>
  <c r="AH90" i="13" s="1"/>
  <c r="AI90" i="13" s="1"/>
  <c r="AD90" i="13"/>
  <c r="AE90" i="13" s="1"/>
  <c r="AF90" i="13" s="1"/>
  <c r="AA90" i="13"/>
  <c r="AB90" i="13" s="1"/>
  <c r="AC90" i="13" s="1"/>
  <c r="X90" i="13"/>
  <c r="Y90" i="13" s="1"/>
  <c r="Z90" i="13" s="1"/>
  <c r="U90" i="13"/>
  <c r="V90" i="13" s="1"/>
  <c r="W90" i="13" s="1"/>
  <c r="J90" i="13"/>
  <c r="K90" i="13" s="1"/>
  <c r="G90" i="13"/>
  <c r="H90" i="13" s="1"/>
  <c r="C90" i="13"/>
  <c r="D90" i="13" s="1"/>
  <c r="E90" i="13" s="1"/>
  <c r="AP89" i="13"/>
  <c r="AJ89" i="13"/>
  <c r="AK89" i="13" s="1"/>
  <c r="AL89" i="13" s="1"/>
  <c r="AG89" i="13"/>
  <c r="AH89" i="13" s="1"/>
  <c r="AI89" i="13" s="1"/>
  <c r="AD89" i="13"/>
  <c r="AE89" i="13" s="1"/>
  <c r="AF89" i="13" s="1"/>
  <c r="AA89" i="13"/>
  <c r="AB89" i="13" s="1"/>
  <c r="AC89" i="13" s="1"/>
  <c r="X89" i="13"/>
  <c r="Y89" i="13" s="1"/>
  <c r="Z89" i="13" s="1"/>
  <c r="U89" i="13"/>
  <c r="V89" i="13" s="1"/>
  <c r="W89" i="13" s="1"/>
  <c r="BA89" i="13"/>
  <c r="J89" i="13"/>
  <c r="K89" i="13" s="1"/>
  <c r="G89" i="13"/>
  <c r="H89" i="13" s="1"/>
  <c r="C89" i="13"/>
  <c r="D89" i="13" s="1"/>
  <c r="E89" i="13" s="1"/>
  <c r="AP88" i="13"/>
  <c r="AJ88" i="13"/>
  <c r="AK88" i="13" s="1"/>
  <c r="AL88" i="13" s="1"/>
  <c r="AG88" i="13"/>
  <c r="AH88" i="13" s="1"/>
  <c r="AI88" i="13" s="1"/>
  <c r="AD88" i="13"/>
  <c r="AE88" i="13" s="1"/>
  <c r="AF88" i="13" s="1"/>
  <c r="AA88" i="13"/>
  <c r="AB88" i="13" s="1"/>
  <c r="AC88" i="13" s="1"/>
  <c r="X88" i="13"/>
  <c r="Y88" i="13" s="1"/>
  <c r="Z88" i="13" s="1"/>
  <c r="U88" i="13"/>
  <c r="V88" i="13" s="1"/>
  <c r="W88" i="13" s="1"/>
  <c r="J88" i="13"/>
  <c r="K88" i="13" s="1"/>
  <c r="G88" i="13"/>
  <c r="H88" i="13" s="1"/>
  <c r="C88" i="13"/>
  <c r="D88" i="13" s="1"/>
  <c r="E88" i="13" s="1"/>
  <c r="AP87" i="13"/>
  <c r="AJ87" i="13"/>
  <c r="AK87" i="13" s="1"/>
  <c r="AL87" i="13" s="1"/>
  <c r="AG87" i="13"/>
  <c r="AH87" i="13" s="1"/>
  <c r="AI87" i="13" s="1"/>
  <c r="AD87" i="13"/>
  <c r="AE87" i="13" s="1"/>
  <c r="AF87" i="13" s="1"/>
  <c r="AA87" i="13"/>
  <c r="AB87" i="13" s="1"/>
  <c r="AC87" i="13" s="1"/>
  <c r="X87" i="13"/>
  <c r="U87" i="13"/>
  <c r="V87" i="13" s="1"/>
  <c r="W87" i="13" s="1"/>
  <c r="M87" i="13"/>
  <c r="N87" i="13" s="1"/>
  <c r="BA87" i="13"/>
  <c r="J87" i="13"/>
  <c r="K87" i="13" s="1"/>
  <c r="G87" i="13"/>
  <c r="H87" i="13" s="1"/>
  <c r="C87" i="13"/>
  <c r="D87" i="13" s="1"/>
  <c r="E87" i="13" s="1"/>
  <c r="AP86" i="13"/>
  <c r="AJ86" i="13"/>
  <c r="AG86" i="13"/>
  <c r="AH86" i="13" s="1"/>
  <c r="AI86" i="13" s="1"/>
  <c r="AD86" i="13"/>
  <c r="AE86" i="13" s="1"/>
  <c r="AF86" i="13" s="1"/>
  <c r="AA86" i="13"/>
  <c r="AB86" i="13" s="1"/>
  <c r="AC86" i="13" s="1"/>
  <c r="X86" i="13"/>
  <c r="Y86" i="13" s="1"/>
  <c r="Z86" i="13" s="1"/>
  <c r="U86" i="13"/>
  <c r="V86" i="13" s="1"/>
  <c r="W86" i="13" s="1"/>
  <c r="J86" i="13"/>
  <c r="K86" i="13" s="1"/>
  <c r="G86" i="13"/>
  <c r="H86" i="13" s="1"/>
  <c r="C86" i="13"/>
  <c r="D86" i="13" s="1"/>
  <c r="E86" i="13" s="1"/>
  <c r="AP85" i="13"/>
  <c r="AJ85" i="13"/>
  <c r="AK85" i="13" s="1"/>
  <c r="AL85" i="13" s="1"/>
  <c r="AG85" i="13"/>
  <c r="AH85" i="13" s="1"/>
  <c r="AI85" i="13" s="1"/>
  <c r="AD85" i="13"/>
  <c r="AE85" i="13" s="1"/>
  <c r="AF85" i="13" s="1"/>
  <c r="AA85" i="13"/>
  <c r="AB85" i="13" s="1"/>
  <c r="AC85" i="13" s="1"/>
  <c r="X85" i="13"/>
  <c r="Y85" i="13" s="1"/>
  <c r="Z85" i="13" s="1"/>
  <c r="U85" i="13"/>
  <c r="V85" i="13" s="1"/>
  <c r="W85" i="13" s="1"/>
  <c r="BA85" i="13"/>
  <c r="J85" i="13"/>
  <c r="K85" i="13" s="1"/>
  <c r="G85" i="13"/>
  <c r="H85" i="13" s="1"/>
  <c r="C85" i="13"/>
  <c r="D85" i="13" s="1"/>
  <c r="E85" i="13" s="1"/>
  <c r="AP84" i="13"/>
  <c r="AJ84" i="13"/>
  <c r="AK84" i="13" s="1"/>
  <c r="AL84" i="13" s="1"/>
  <c r="AG84" i="13"/>
  <c r="AD84" i="13"/>
  <c r="AE84" i="13" s="1"/>
  <c r="AF84" i="13" s="1"/>
  <c r="AA84" i="13"/>
  <c r="AB84" i="13" s="1"/>
  <c r="AC84" i="13" s="1"/>
  <c r="X84" i="13"/>
  <c r="Y84" i="13" s="1"/>
  <c r="Z84" i="13" s="1"/>
  <c r="U84" i="13"/>
  <c r="V84" i="13" s="1"/>
  <c r="W84" i="13" s="1"/>
  <c r="J84" i="13"/>
  <c r="K84" i="13" s="1"/>
  <c r="G84" i="13"/>
  <c r="H84" i="13" s="1"/>
  <c r="C84" i="13"/>
  <c r="D84" i="13" s="1"/>
  <c r="E84" i="13" s="1"/>
  <c r="AP83" i="13"/>
  <c r="AK83" i="13"/>
  <c r="AL83" i="13" s="1"/>
  <c r="AH83" i="13"/>
  <c r="AI83" i="13" s="1"/>
  <c r="AE83" i="13"/>
  <c r="AF83" i="13" s="1"/>
  <c r="AA83" i="13"/>
  <c r="AB83" i="13" s="1"/>
  <c r="AC83" i="13" s="1"/>
  <c r="X83" i="13"/>
  <c r="V83" i="13"/>
  <c r="W83" i="13" s="1"/>
  <c r="S83" i="13"/>
  <c r="T83" i="13" s="1"/>
  <c r="P83" i="13"/>
  <c r="Q83" i="13" s="1"/>
  <c r="M83" i="13"/>
  <c r="N83" i="13" s="1"/>
  <c r="J83" i="13"/>
  <c r="K83" i="13" s="1"/>
  <c r="G83" i="13"/>
  <c r="H83" i="13" s="1"/>
  <c r="D83" i="13"/>
  <c r="E83" i="13" s="1"/>
  <c r="AJ82" i="13"/>
  <c r="AG82" i="13"/>
  <c r="AD82" i="13"/>
  <c r="AA82" i="13"/>
  <c r="X82" i="13"/>
  <c r="U82" i="13"/>
  <c r="AP81" i="13"/>
  <c r="AK81" i="13"/>
  <c r="AL81" i="13" s="1"/>
  <c r="AH81" i="13"/>
  <c r="AI81" i="13" s="1"/>
  <c r="AE81" i="13"/>
  <c r="AF81" i="13" s="1"/>
  <c r="AA81" i="13"/>
  <c r="AB81" i="13" s="1"/>
  <c r="AC81" i="13" s="1"/>
  <c r="X81" i="13"/>
  <c r="Y81" i="13" s="1"/>
  <c r="Z81" i="13" s="1"/>
  <c r="U81" i="13"/>
  <c r="P81" i="13"/>
  <c r="Q81" i="13" s="1"/>
  <c r="M81" i="13"/>
  <c r="N81" i="13" s="1"/>
  <c r="J81" i="13"/>
  <c r="K81" i="13" s="1"/>
  <c r="G81" i="13"/>
  <c r="H81" i="13" s="1"/>
  <c r="D81" i="13"/>
  <c r="E81" i="13" s="1"/>
  <c r="AP80" i="13"/>
  <c r="AK80" i="13"/>
  <c r="AL80" i="13" s="1"/>
  <c r="AH80" i="13"/>
  <c r="AI80" i="13" s="1"/>
  <c r="AE80" i="13"/>
  <c r="AF80" i="13" s="1"/>
  <c r="AA80" i="13"/>
  <c r="X80" i="13"/>
  <c r="Y80" i="13" s="1"/>
  <c r="Z80" i="13" s="1"/>
  <c r="U80" i="13"/>
  <c r="V80" i="13" s="1"/>
  <c r="W80" i="13" s="1"/>
  <c r="P80" i="13"/>
  <c r="Q80" i="13" s="1"/>
  <c r="M80" i="13"/>
  <c r="N80" i="13" s="1"/>
  <c r="J80" i="13"/>
  <c r="K80" i="13" s="1"/>
  <c r="G80" i="13"/>
  <c r="H80" i="13" s="1"/>
  <c r="D80" i="13"/>
  <c r="E80" i="13" s="1"/>
  <c r="AP79" i="13"/>
  <c r="AJ79" i="13"/>
  <c r="AK79" i="13" s="1"/>
  <c r="AL79" i="13" s="1"/>
  <c r="AG79" i="13"/>
  <c r="AD79" i="13"/>
  <c r="AE79" i="13" s="1"/>
  <c r="AF79" i="13" s="1"/>
  <c r="AA79" i="13"/>
  <c r="AB79" i="13" s="1"/>
  <c r="AC79" i="13" s="1"/>
  <c r="X79" i="13"/>
  <c r="Y79" i="13" s="1"/>
  <c r="Z79" i="13" s="1"/>
  <c r="U79" i="13"/>
  <c r="V79" i="13" s="1"/>
  <c r="W79" i="13" s="1"/>
  <c r="BA79" i="13"/>
  <c r="J79" i="13"/>
  <c r="K79" i="13" s="1"/>
  <c r="G79" i="13"/>
  <c r="H79" i="13" s="1"/>
  <c r="C79" i="13"/>
  <c r="D79" i="13" s="1"/>
  <c r="E79" i="13" s="1"/>
  <c r="AJ78" i="13"/>
  <c r="AG78" i="13"/>
  <c r="AD78" i="13"/>
  <c r="AA78" i="13"/>
  <c r="X78" i="13"/>
  <c r="U78" i="13"/>
  <c r="BI78" i="13"/>
  <c r="BE78" i="13"/>
  <c r="BA78" i="13"/>
  <c r="C78" i="13"/>
  <c r="AP77" i="13"/>
  <c r="AJ77" i="13"/>
  <c r="AK77" i="13" s="1"/>
  <c r="AL77" i="13" s="1"/>
  <c r="AG77" i="13"/>
  <c r="AH77" i="13" s="1"/>
  <c r="AI77" i="13" s="1"/>
  <c r="AD77" i="13"/>
  <c r="AE77" i="13" s="1"/>
  <c r="AF77" i="13" s="1"/>
  <c r="AA77" i="13"/>
  <c r="AB77" i="13" s="1"/>
  <c r="AC77" i="13" s="1"/>
  <c r="X77" i="13"/>
  <c r="Y77" i="13" s="1"/>
  <c r="Z77" i="13" s="1"/>
  <c r="U77" i="13"/>
  <c r="V77" i="13" s="1"/>
  <c r="W77" i="13" s="1"/>
  <c r="J77" i="13"/>
  <c r="K77" i="13" s="1"/>
  <c r="G77" i="13"/>
  <c r="H77" i="13" s="1"/>
  <c r="C77" i="13"/>
  <c r="D77" i="13" s="1"/>
  <c r="E77" i="13" s="1"/>
  <c r="AP76" i="13"/>
  <c r="AJ76" i="13"/>
  <c r="AK76" i="13" s="1"/>
  <c r="AL76" i="13" s="1"/>
  <c r="AG76" i="13"/>
  <c r="AH76" i="13" s="1"/>
  <c r="AI76" i="13" s="1"/>
  <c r="AD76" i="13"/>
  <c r="AE76" i="13" s="1"/>
  <c r="AF76" i="13" s="1"/>
  <c r="AA76" i="13"/>
  <c r="AB76" i="13" s="1"/>
  <c r="AC76" i="13" s="1"/>
  <c r="X76" i="13"/>
  <c r="Y76" i="13" s="1"/>
  <c r="Z76" i="13" s="1"/>
  <c r="U76" i="13"/>
  <c r="V76" i="13" s="1"/>
  <c r="W76" i="13" s="1"/>
  <c r="J76" i="13"/>
  <c r="K76" i="13" s="1"/>
  <c r="G76" i="13"/>
  <c r="H76" i="13" s="1"/>
  <c r="C76" i="13"/>
  <c r="D76" i="13" s="1"/>
  <c r="E76" i="13" s="1"/>
  <c r="AP75" i="13"/>
  <c r="AJ75" i="13"/>
  <c r="AK75" i="13" s="1"/>
  <c r="AL75" i="13" s="1"/>
  <c r="AG75" i="13"/>
  <c r="AH75" i="13" s="1"/>
  <c r="AI75" i="13" s="1"/>
  <c r="AD75" i="13"/>
  <c r="AE75" i="13" s="1"/>
  <c r="AF75" i="13" s="1"/>
  <c r="AA75" i="13"/>
  <c r="AB75" i="13" s="1"/>
  <c r="AC75" i="13" s="1"/>
  <c r="X75" i="13"/>
  <c r="U75" i="13"/>
  <c r="V75" i="13" s="1"/>
  <c r="W75" i="13" s="1"/>
  <c r="J75" i="13"/>
  <c r="K75" i="13" s="1"/>
  <c r="G75" i="13"/>
  <c r="H75" i="13" s="1"/>
  <c r="C75" i="13"/>
  <c r="D75" i="13" s="1"/>
  <c r="E75" i="13" s="1"/>
  <c r="AP74" i="13"/>
  <c r="AV74" i="13" s="1"/>
  <c r="AJ74" i="13"/>
  <c r="AG74" i="13"/>
  <c r="AH74" i="13" s="1"/>
  <c r="AD74" i="13"/>
  <c r="AE74" i="13" s="1"/>
  <c r="AA74" i="13"/>
  <c r="AB74" i="13" s="1"/>
  <c r="X74" i="13"/>
  <c r="Y74" i="13" s="1"/>
  <c r="U74" i="13"/>
  <c r="V74" i="13" s="1"/>
  <c r="J74" i="13"/>
  <c r="G74" i="13"/>
  <c r="C74" i="13"/>
  <c r="D74" i="13" s="1"/>
  <c r="AP73" i="13"/>
  <c r="AJ73" i="13"/>
  <c r="AK73" i="13" s="1"/>
  <c r="AL73" i="13" s="1"/>
  <c r="AG73" i="13"/>
  <c r="AH73" i="13" s="1"/>
  <c r="AI73" i="13" s="1"/>
  <c r="AD73" i="13"/>
  <c r="AE73" i="13" s="1"/>
  <c r="AF73" i="13" s="1"/>
  <c r="AA73" i="13"/>
  <c r="AB73" i="13" s="1"/>
  <c r="AC73" i="13" s="1"/>
  <c r="X73" i="13"/>
  <c r="Y73" i="13" s="1"/>
  <c r="Z73" i="13" s="1"/>
  <c r="U73" i="13"/>
  <c r="V73" i="13" s="1"/>
  <c r="W73" i="13" s="1"/>
  <c r="J73" i="13"/>
  <c r="K73" i="13" s="1"/>
  <c r="G73" i="13"/>
  <c r="H73" i="13" s="1"/>
  <c r="C73" i="13"/>
  <c r="D73" i="13" s="1"/>
  <c r="E73" i="13" s="1"/>
  <c r="AP72" i="13"/>
  <c r="AJ72" i="13"/>
  <c r="AK72" i="13" s="1"/>
  <c r="AL72" i="13" s="1"/>
  <c r="AG72" i="13"/>
  <c r="AH72" i="13" s="1"/>
  <c r="AI72" i="13" s="1"/>
  <c r="AD72" i="13"/>
  <c r="AE72" i="13" s="1"/>
  <c r="AF72" i="13" s="1"/>
  <c r="AA72" i="13"/>
  <c r="AB72" i="13" s="1"/>
  <c r="AC72" i="13" s="1"/>
  <c r="X72" i="13"/>
  <c r="Y72" i="13" s="1"/>
  <c r="Z72" i="13" s="1"/>
  <c r="U72" i="13"/>
  <c r="V72" i="13" s="1"/>
  <c r="W72" i="13" s="1"/>
  <c r="J72" i="13"/>
  <c r="K72" i="13" s="1"/>
  <c r="G72" i="13"/>
  <c r="H72" i="13" s="1"/>
  <c r="C72" i="13"/>
  <c r="D72" i="13" s="1"/>
  <c r="E72" i="13" s="1"/>
  <c r="AP71" i="13"/>
  <c r="AJ71" i="13"/>
  <c r="AK71" i="13" s="1"/>
  <c r="AL71" i="13" s="1"/>
  <c r="AG71" i="13"/>
  <c r="AH71" i="13" s="1"/>
  <c r="AI71" i="13" s="1"/>
  <c r="AD71" i="13"/>
  <c r="AE71" i="13" s="1"/>
  <c r="AF71" i="13" s="1"/>
  <c r="AA71" i="13"/>
  <c r="AB71" i="13" s="1"/>
  <c r="AC71" i="13" s="1"/>
  <c r="X71" i="13"/>
  <c r="Y71" i="13" s="1"/>
  <c r="Z71" i="13" s="1"/>
  <c r="U71" i="13"/>
  <c r="V71" i="13" s="1"/>
  <c r="W71" i="13" s="1"/>
  <c r="J71" i="13"/>
  <c r="K71" i="13" s="1"/>
  <c r="G71" i="13"/>
  <c r="H71" i="13" s="1"/>
  <c r="C71" i="13"/>
  <c r="D71" i="13" s="1"/>
  <c r="E71" i="13" s="1"/>
  <c r="AP70" i="13"/>
  <c r="AJ70" i="13"/>
  <c r="AG70" i="13"/>
  <c r="AH70" i="13" s="1"/>
  <c r="AI70" i="13" s="1"/>
  <c r="AD70" i="13"/>
  <c r="AE70" i="13" s="1"/>
  <c r="AF70" i="13" s="1"/>
  <c r="AA70" i="13"/>
  <c r="AB70" i="13" s="1"/>
  <c r="AC70" i="13" s="1"/>
  <c r="X70" i="13"/>
  <c r="Y70" i="13" s="1"/>
  <c r="Z70" i="13" s="1"/>
  <c r="U70" i="13"/>
  <c r="V70" i="13" s="1"/>
  <c r="W70" i="13" s="1"/>
  <c r="BE70" i="13"/>
  <c r="J70" i="13"/>
  <c r="K70" i="13" s="1"/>
  <c r="G70" i="13"/>
  <c r="H70" i="13" s="1"/>
  <c r="C70" i="13"/>
  <c r="D70" i="13" s="1"/>
  <c r="E70" i="13" s="1"/>
  <c r="AJ69" i="13"/>
  <c r="AG69" i="13"/>
  <c r="AD69" i="13"/>
  <c r="AA69" i="13"/>
  <c r="X69" i="13"/>
  <c r="U69" i="13"/>
  <c r="BI69" i="13"/>
  <c r="BE69" i="13"/>
  <c r="BA69" i="13"/>
  <c r="C69" i="13"/>
  <c r="AP68" i="13"/>
  <c r="AV68" i="13" s="1"/>
  <c r="AJ68" i="13"/>
  <c r="AG68" i="13"/>
  <c r="AH68" i="13" s="1"/>
  <c r="AD68" i="13"/>
  <c r="AE68" i="13" s="1"/>
  <c r="AA68" i="13"/>
  <c r="AB68" i="13" s="1"/>
  <c r="X68" i="13"/>
  <c r="Y68" i="13" s="1"/>
  <c r="U68" i="13"/>
  <c r="V68" i="13" s="1"/>
  <c r="J68" i="13"/>
  <c r="G68" i="13"/>
  <c r="C68" i="13"/>
  <c r="D68" i="13" s="1"/>
  <c r="AP67" i="13"/>
  <c r="AJ67" i="13"/>
  <c r="AG67" i="13"/>
  <c r="AH67" i="13" s="1"/>
  <c r="AI67" i="13" s="1"/>
  <c r="AD67" i="13"/>
  <c r="AE67" i="13" s="1"/>
  <c r="AF67" i="13" s="1"/>
  <c r="AA67" i="13"/>
  <c r="AB67" i="13" s="1"/>
  <c r="AC67" i="13" s="1"/>
  <c r="X67" i="13"/>
  <c r="Y67" i="13" s="1"/>
  <c r="Z67" i="13" s="1"/>
  <c r="U67" i="13"/>
  <c r="V67" i="13" s="1"/>
  <c r="W67" i="13" s="1"/>
  <c r="J67" i="13"/>
  <c r="K67" i="13" s="1"/>
  <c r="G67" i="13"/>
  <c r="H67" i="13" s="1"/>
  <c r="C67" i="13"/>
  <c r="D67" i="13" s="1"/>
  <c r="E67" i="13" s="1"/>
  <c r="AP66" i="13"/>
  <c r="AJ66" i="13"/>
  <c r="AG66" i="13"/>
  <c r="AH66" i="13" s="1"/>
  <c r="AI66" i="13" s="1"/>
  <c r="AD66" i="13"/>
  <c r="AE66" i="13" s="1"/>
  <c r="AF66" i="13" s="1"/>
  <c r="AA66" i="13"/>
  <c r="AB66" i="13" s="1"/>
  <c r="AC66" i="13" s="1"/>
  <c r="X66" i="13"/>
  <c r="Y66" i="13" s="1"/>
  <c r="Z66" i="13" s="1"/>
  <c r="U66" i="13"/>
  <c r="V66" i="13" s="1"/>
  <c r="W66" i="13" s="1"/>
  <c r="BA66" i="13"/>
  <c r="J66" i="13"/>
  <c r="K66" i="13" s="1"/>
  <c r="G66" i="13"/>
  <c r="H66" i="13" s="1"/>
  <c r="C66" i="13"/>
  <c r="D66" i="13" s="1"/>
  <c r="E66" i="13" s="1"/>
  <c r="AP65" i="13"/>
  <c r="AJ65" i="13"/>
  <c r="AK65" i="13" s="1"/>
  <c r="AL65" i="13" s="1"/>
  <c r="AG65" i="13"/>
  <c r="AH65" i="13" s="1"/>
  <c r="AI65" i="13" s="1"/>
  <c r="AD65" i="13"/>
  <c r="AA65" i="13"/>
  <c r="AB65" i="13" s="1"/>
  <c r="AC65" i="13" s="1"/>
  <c r="X65" i="13"/>
  <c r="Y65" i="13" s="1"/>
  <c r="Z65" i="13" s="1"/>
  <c r="U65" i="13"/>
  <c r="V65" i="13" s="1"/>
  <c r="W65" i="13" s="1"/>
  <c r="BA65" i="13"/>
  <c r="J65" i="13"/>
  <c r="K65" i="13" s="1"/>
  <c r="G65" i="13"/>
  <c r="H65" i="13" s="1"/>
  <c r="C65" i="13"/>
  <c r="D65" i="13" s="1"/>
  <c r="E65" i="13" s="1"/>
  <c r="AP64" i="13"/>
  <c r="AJ64" i="13"/>
  <c r="AK64" i="13" s="1"/>
  <c r="AL64" i="13" s="1"/>
  <c r="AG64" i="13"/>
  <c r="AH64" i="13" s="1"/>
  <c r="AI64" i="13" s="1"/>
  <c r="AD64" i="13"/>
  <c r="AE64" i="13" s="1"/>
  <c r="AF64" i="13" s="1"/>
  <c r="AA64" i="13"/>
  <c r="AB64" i="13" s="1"/>
  <c r="AC64" i="13" s="1"/>
  <c r="X64" i="13"/>
  <c r="Y64" i="13" s="1"/>
  <c r="Z64" i="13" s="1"/>
  <c r="U64" i="13"/>
  <c r="V64" i="13" s="1"/>
  <c r="W64" i="13" s="1"/>
  <c r="J64" i="13"/>
  <c r="K64" i="13" s="1"/>
  <c r="G64" i="13"/>
  <c r="H64" i="13" s="1"/>
  <c r="C64" i="13"/>
  <c r="D64" i="13" s="1"/>
  <c r="E64" i="13" s="1"/>
  <c r="AP63" i="13"/>
  <c r="AV63" i="13" s="1"/>
  <c r="AJ63" i="13"/>
  <c r="AK63" i="13" s="1"/>
  <c r="AG63" i="13"/>
  <c r="AH63" i="13" s="1"/>
  <c r="AD63" i="13"/>
  <c r="AE63" i="13" s="1"/>
  <c r="AA63" i="13"/>
  <c r="AB63" i="13" s="1"/>
  <c r="X63" i="13"/>
  <c r="Y63" i="13" s="1"/>
  <c r="U63" i="13"/>
  <c r="V63" i="13" s="1"/>
  <c r="BE63" i="13"/>
  <c r="J63" i="13"/>
  <c r="G63" i="13"/>
  <c r="C63" i="13"/>
  <c r="D63" i="13" s="1"/>
  <c r="AP62" i="13"/>
  <c r="AJ62" i="13"/>
  <c r="AK62" i="13" s="1"/>
  <c r="AL62" i="13" s="1"/>
  <c r="AG62" i="13"/>
  <c r="AD62" i="13"/>
  <c r="AE62" i="13" s="1"/>
  <c r="AF62" i="13" s="1"/>
  <c r="AA62" i="13"/>
  <c r="AB62" i="13" s="1"/>
  <c r="AC62" i="13" s="1"/>
  <c r="X62" i="13"/>
  <c r="Y62" i="13" s="1"/>
  <c r="Z62" i="13" s="1"/>
  <c r="U62" i="13"/>
  <c r="V62" i="13" s="1"/>
  <c r="W62" i="13" s="1"/>
  <c r="BA62" i="13"/>
  <c r="J62" i="13"/>
  <c r="K62" i="13" s="1"/>
  <c r="G62" i="13"/>
  <c r="H62" i="13" s="1"/>
  <c r="C62" i="13"/>
  <c r="D62" i="13" s="1"/>
  <c r="E62" i="13" s="1"/>
  <c r="AP61" i="13"/>
  <c r="AJ61" i="13"/>
  <c r="AK61" i="13" s="1"/>
  <c r="AL61" i="13" s="1"/>
  <c r="AG61" i="13"/>
  <c r="AH61" i="13" s="1"/>
  <c r="AI61" i="13" s="1"/>
  <c r="AD61" i="13"/>
  <c r="AE61" i="13" s="1"/>
  <c r="AF61" i="13" s="1"/>
  <c r="AA61" i="13"/>
  <c r="AB61" i="13" s="1"/>
  <c r="AC61" i="13" s="1"/>
  <c r="X61" i="13"/>
  <c r="Y61" i="13" s="1"/>
  <c r="Z61" i="13" s="1"/>
  <c r="U61" i="13"/>
  <c r="V61" i="13" s="1"/>
  <c r="W61" i="13" s="1"/>
  <c r="BI61" i="13"/>
  <c r="J61" i="13"/>
  <c r="K61" i="13" s="1"/>
  <c r="G61" i="13"/>
  <c r="H61" i="13" s="1"/>
  <c r="C61" i="13"/>
  <c r="D61" i="13" s="1"/>
  <c r="E61" i="13" s="1"/>
  <c r="AP60" i="13"/>
  <c r="AJ60" i="13"/>
  <c r="AG60" i="13"/>
  <c r="AH60" i="13" s="1"/>
  <c r="AI60" i="13" s="1"/>
  <c r="AD60" i="13"/>
  <c r="AE60" i="13" s="1"/>
  <c r="AF60" i="13" s="1"/>
  <c r="AA60" i="13"/>
  <c r="AB60" i="13" s="1"/>
  <c r="AC60" i="13" s="1"/>
  <c r="X60" i="13"/>
  <c r="Y60" i="13" s="1"/>
  <c r="Z60" i="13" s="1"/>
  <c r="U60" i="13"/>
  <c r="V60" i="13" s="1"/>
  <c r="W60" i="13" s="1"/>
  <c r="J60" i="13"/>
  <c r="K60" i="13" s="1"/>
  <c r="G60" i="13"/>
  <c r="H60" i="13" s="1"/>
  <c r="C60" i="13"/>
  <c r="D60" i="13" s="1"/>
  <c r="E60" i="13" s="1"/>
  <c r="AP59" i="13"/>
  <c r="AJ59" i="13"/>
  <c r="AG59" i="13"/>
  <c r="AH59" i="13" s="1"/>
  <c r="AI59" i="13" s="1"/>
  <c r="AD59" i="13"/>
  <c r="AE59" i="13" s="1"/>
  <c r="AF59" i="13" s="1"/>
  <c r="AA59" i="13"/>
  <c r="AB59" i="13" s="1"/>
  <c r="AC59" i="13" s="1"/>
  <c r="X59" i="13"/>
  <c r="Y59" i="13" s="1"/>
  <c r="Z59" i="13" s="1"/>
  <c r="U59" i="13"/>
  <c r="V59" i="13" s="1"/>
  <c r="W59" i="13" s="1"/>
  <c r="BE59" i="13"/>
  <c r="J59" i="13"/>
  <c r="K59" i="13" s="1"/>
  <c r="G59" i="13"/>
  <c r="H59" i="13" s="1"/>
  <c r="C59" i="13"/>
  <c r="D59" i="13" s="1"/>
  <c r="E59" i="13" s="1"/>
  <c r="AP58" i="13"/>
  <c r="AV58" i="13" s="1"/>
  <c r="AK58" i="13"/>
  <c r="AH58" i="13"/>
  <c r="AE58" i="13"/>
  <c r="AB58" i="13"/>
  <c r="Y58" i="13"/>
  <c r="U58" i="13"/>
  <c r="V58" i="13" s="1"/>
  <c r="J58" i="13"/>
  <c r="G58" i="13"/>
  <c r="C58" i="13"/>
  <c r="D58" i="13" s="1"/>
  <c r="AP57" i="13"/>
  <c r="AJ57" i="13"/>
  <c r="AK57" i="13" s="1"/>
  <c r="AL57" i="13" s="1"/>
  <c r="AG57" i="13"/>
  <c r="AD57" i="13"/>
  <c r="AE57" i="13" s="1"/>
  <c r="AF57" i="13" s="1"/>
  <c r="AA57" i="13"/>
  <c r="AB57" i="13" s="1"/>
  <c r="AC57" i="13" s="1"/>
  <c r="X57" i="13"/>
  <c r="Y57" i="13" s="1"/>
  <c r="Z57" i="13" s="1"/>
  <c r="U57" i="13"/>
  <c r="V57" i="13" s="1"/>
  <c r="W57" i="13" s="1"/>
  <c r="J57" i="13"/>
  <c r="K57" i="13" s="1"/>
  <c r="G57" i="13"/>
  <c r="H57" i="13" s="1"/>
  <c r="C57" i="13"/>
  <c r="D57" i="13" s="1"/>
  <c r="E57" i="13" s="1"/>
  <c r="AP56" i="13"/>
  <c r="AJ56" i="13"/>
  <c r="AG56" i="13"/>
  <c r="AH56" i="13" s="1"/>
  <c r="AI56" i="13" s="1"/>
  <c r="AD56" i="13"/>
  <c r="AE56" i="13" s="1"/>
  <c r="AF56" i="13" s="1"/>
  <c r="AB56" i="13"/>
  <c r="AC56" i="13" s="1"/>
  <c r="Y56" i="13"/>
  <c r="Z56" i="13" s="1"/>
  <c r="V56" i="13"/>
  <c r="W56" i="13" s="1"/>
  <c r="S56" i="13"/>
  <c r="T56" i="13" s="1"/>
  <c r="P56" i="13"/>
  <c r="Q56" i="13" s="1"/>
  <c r="M56" i="13"/>
  <c r="N56" i="13" s="1"/>
  <c r="J56" i="13"/>
  <c r="K56" i="13" s="1"/>
  <c r="G56" i="13"/>
  <c r="H56" i="13" s="1"/>
  <c r="D56" i="13"/>
  <c r="E56" i="13" s="1"/>
  <c r="AP55" i="13"/>
  <c r="AJ55" i="13"/>
  <c r="AG55" i="13"/>
  <c r="AH55" i="13" s="1"/>
  <c r="AI55" i="13" s="1"/>
  <c r="AD55" i="13"/>
  <c r="AE55" i="13" s="1"/>
  <c r="AF55" i="13" s="1"/>
  <c r="AA55" i="13"/>
  <c r="AB55" i="13" s="1"/>
  <c r="AC55" i="13" s="1"/>
  <c r="X55" i="13"/>
  <c r="Y55" i="13" s="1"/>
  <c r="Z55" i="13" s="1"/>
  <c r="U55" i="13"/>
  <c r="V55" i="13" s="1"/>
  <c r="W55" i="13" s="1"/>
  <c r="J55" i="13"/>
  <c r="K55" i="13" s="1"/>
  <c r="G55" i="13"/>
  <c r="H55" i="13" s="1"/>
  <c r="C55" i="13"/>
  <c r="D55" i="13" s="1"/>
  <c r="E55" i="13" s="1"/>
  <c r="AP54" i="13"/>
  <c r="AJ54" i="13"/>
  <c r="AG54" i="13"/>
  <c r="AH54" i="13" s="1"/>
  <c r="AI54" i="13" s="1"/>
  <c r="AD54" i="13"/>
  <c r="AE54" i="13" s="1"/>
  <c r="AF54" i="13" s="1"/>
  <c r="AA54" i="13"/>
  <c r="AB54" i="13" s="1"/>
  <c r="AC54" i="13" s="1"/>
  <c r="X54" i="13"/>
  <c r="Y54" i="13" s="1"/>
  <c r="Z54" i="13" s="1"/>
  <c r="U54" i="13"/>
  <c r="V54" i="13" s="1"/>
  <c r="W54" i="13" s="1"/>
  <c r="J54" i="13"/>
  <c r="K54" i="13" s="1"/>
  <c r="G54" i="13"/>
  <c r="H54" i="13" s="1"/>
  <c r="C54" i="13"/>
  <c r="D54" i="13" s="1"/>
  <c r="E54" i="13" s="1"/>
  <c r="AP53" i="13"/>
  <c r="AJ53" i="13"/>
  <c r="AK53" i="13" s="1"/>
  <c r="AL53" i="13" s="1"/>
  <c r="AG53" i="13"/>
  <c r="AH53" i="13" s="1"/>
  <c r="AI53" i="13" s="1"/>
  <c r="AD53" i="13"/>
  <c r="AA53" i="13"/>
  <c r="AB53" i="13" s="1"/>
  <c r="AC53" i="13" s="1"/>
  <c r="X53" i="13"/>
  <c r="Y53" i="13" s="1"/>
  <c r="Z53" i="13" s="1"/>
  <c r="U53" i="13"/>
  <c r="V53" i="13" s="1"/>
  <c r="W53" i="13" s="1"/>
  <c r="J53" i="13"/>
  <c r="K53" i="13" s="1"/>
  <c r="G53" i="13"/>
  <c r="H53" i="13" s="1"/>
  <c r="C53" i="13"/>
  <c r="D53" i="13" s="1"/>
  <c r="E53" i="13" s="1"/>
  <c r="AP52" i="13"/>
  <c r="AJ52" i="13"/>
  <c r="AK52" i="13" s="1"/>
  <c r="AL52" i="13" s="1"/>
  <c r="AG52" i="13"/>
  <c r="AH52" i="13" s="1"/>
  <c r="AI52" i="13" s="1"/>
  <c r="AD52" i="13"/>
  <c r="AA52" i="13"/>
  <c r="AB52" i="13" s="1"/>
  <c r="AC52" i="13" s="1"/>
  <c r="X52" i="13"/>
  <c r="Y52" i="13" s="1"/>
  <c r="Z52" i="13" s="1"/>
  <c r="U52" i="13"/>
  <c r="V52" i="13" s="1"/>
  <c r="W52" i="13" s="1"/>
  <c r="S52" i="13"/>
  <c r="T52" i="13" s="1"/>
  <c r="BI52" i="13"/>
  <c r="BA52" i="13"/>
  <c r="J52" i="13"/>
  <c r="K52" i="13" s="1"/>
  <c r="G52" i="13"/>
  <c r="H52" i="13" s="1"/>
  <c r="C52" i="13"/>
  <c r="D52" i="13" s="1"/>
  <c r="E52" i="13" s="1"/>
  <c r="AP51" i="13"/>
  <c r="AJ51" i="13"/>
  <c r="AK51" i="13" s="1"/>
  <c r="AL51" i="13" s="1"/>
  <c r="AG51" i="13"/>
  <c r="AH51" i="13" s="1"/>
  <c r="AI51" i="13" s="1"/>
  <c r="AD51" i="13"/>
  <c r="AE51" i="13" s="1"/>
  <c r="AF51" i="13" s="1"/>
  <c r="AA51" i="13"/>
  <c r="AB51" i="13" s="1"/>
  <c r="AC51" i="13" s="1"/>
  <c r="X51" i="13"/>
  <c r="Y51" i="13" s="1"/>
  <c r="Z51" i="13" s="1"/>
  <c r="U51" i="13"/>
  <c r="V51" i="13" s="1"/>
  <c r="W51" i="13" s="1"/>
  <c r="J51" i="13"/>
  <c r="K51" i="13" s="1"/>
  <c r="G51" i="13"/>
  <c r="H51" i="13" s="1"/>
  <c r="C51" i="13"/>
  <c r="D51" i="13" s="1"/>
  <c r="E51" i="13" s="1"/>
  <c r="AP50" i="13"/>
  <c r="AJ50" i="13"/>
  <c r="AK50" i="13" s="1"/>
  <c r="AL50" i="13" s="1"/>
  <c r="AG50" i="13"/>
  <c r="AH50" i="13" s="1"/>
  <c r="AI50" i="13" s="1"/>
  <c r="AD50" i="13"/>
  <c r="AE50" i="13" s="1"/>
  <c r="AF50" i="13" s="1"/>
  <c r="AA50" i="13"/>
  <c r="AB50" i="13" s="1"/>
  <c r="AC50" i="13" s="1"/>
  <c r="X50" i="13"/>
  <c r="Y50" i="13" s="1"/>
  <c r="Z50" i="13" s="1"/>
  <c r="U50" i="13"/>
  <c r="V50" i="13" s="1"/>
  <c r="W50" i="13" s="1"/>
  <c r="BA50" i="13"/>
  <c r="J50" i="13"/>
  <c r="K50" i="13" s="1"/>
  <c r="G50" i="13"/>
  <c r="H50" i="13" s="1"/>
  <c r="C50" i="13"/>
  <c r="D50" i="13" s="1"/>
  <c r="E50" i="13" s="1"/>
  <c r="AP49" i="13"/>
  <c r="AJ49" i="13"/>
  <c r="AG49" i="13"/>
  <c r="AH49" i="13" s="1"/>
  <c r="AI49" i="13" s="1"/>
  <c r="AD49" i="13"/>
  <c r="AE49" i="13" s="1"/>
  <c r="AF49" i="13" s="1"/>
  <c r="AA49" i="13"/>
  <c r="AB49" i="13" s="1"/>
  <c r="AC49" i="13" s="1"/>
  <c r="X49" i="13"/>
  <c r="Y49" i="13" s="1"/>
  <c r="Z49" i="13" s="1"/>
  <c r="U49" i="13"/>
  <c r="V49" i="13" s="1"/>
  <c r="W49" i="13" s="1"/>
  <c r="J49" i="13"/>
  <c r="K49" i="13" s="1"/>
  <c r="G49" i="13"/>
  <c r="H49" i="13" s="1"/>
  <c r="C49" i="13"/>
  <c r="D49" i="13" s="1"/>
  <c r="E49" i="13" s="1"/>
  <c r="AP48" i="13"/>
  <c r="AJ48" i="13"/>
  <c r="AK48" i="13" s="1"/>
  <c r="AL48" i="13" s="1"/>
  <c r="AG48" i="13"/>
  <c r="AH48" i="13" s="1"/>
  <c r="AI48" i="13" s="1"/>
  <c r="AD48" i="13"/>
  <c r="AE48" i="13" s="1"/>
  <c r="AF48" i="13" s="1"/>
  <c r="AA48" i="13"/>
  <c r="AB48" i="13" s="1"/>
  <c r="AC48" i="13" s="1"/>
  <c r="X48" i="13"/>
  <c r="Y48" i="13" s="1"/>
  <c r="Z48" i="13" s="1"/>
  <c r="U48" i="13"/>
  <c r="V48" i="13" s="1"/>
  <c r="W48" i="13" s="1"/>
  <c r="J48" i="13"/>
  <c r="K48" i="13" s="1"/>
  <c r="G48" i="13"/>
  <c r="H48" i="13" s="1"/>
  <c r="C48" i="13"/>
  <c r="D48" i="13" s="1"/>
  <c r="E48" i="13" s="1"/>
  <c r="AP47" i="13"/>
  <c r="AK47" i="13"/>
  <c r="AL47" i="13" s="1"/>
  <c r="AH47" i="13"/>
  <c r="AI47" i="13" s="1"/>
  <c r="AE47" i="13"/>
  <c r="AF47" i="13" s="1"/>
  <c r="AB47" i="13"/>
  <c r="AC47" i="13" s="1"/>
  <c r="Y47" i="13"/>
  <c r="Z47" i="13" s="1"/>
  <c r="U47" i="13"/>
  <c r="V47" i="13" s="1"/>
  <c r="W47" i="13" s="1"/>
  <c r="M47" i="13"/>
  <c r="N47" i="13" s="1"/>
  <c r="J47" i="13"/>
  <c r="K47" i="13" s="1"/>
  <c r="G47" i="13"/>
  <c r="H47" i="13" s="1"/>
  <c r="D47" i="13"/>
  <c r="E47" i="13" s="1"/>
  <c r="AP46" i="13"/>
  <c r="AJ46" i="13"/>
  <c r="AK46" i="13" s="1"/>
  <c r="AL46" i="13" s="1"/>
  <c r="AG46" i="13"/>
  <c r="AH46" i="13" s="1"/>
  <c r="AI46" i="13" s="1"/>
  <c r="AD46" i="13"/>
  <c r="AE46" i="13" s="1"/>
  <c r="AF46" i="13" s="1"/>
  <c r="AA46" i="13"/>
  <c r="AB46" i="13" s="1"/>
  <c r="AC46" i="13" s="1"/>
  <c r="X46" i="13"/>
  <c r="Y46" i="13" s="1"/>
  <c r="Z46" i="13" s="1"/>
  <c r="U46" i="13"/>
  <c r="V46" i="13" s="1"/>
  <c r="W46" i="13" s="1"/>
  <c r="J46" i="13"/>
  <c r="K46" i="13" s="1"/>
  <c r="G46" i="13"/>
  <c r="H46" i="13" s="1"/>
  <c r="C46" i="13"/>
  <c r="D46" i="13" s="1"/>
  <c r="E46" i="13" s="1"/>
  <c r="AP45" i="13"/>
  <c r="AJ45" i="13"/>
  <c r="AK45" i="13" s="1"/>
  <c r="AL45" i="13" s="1"/>
  <c r="AG45" i="13"/>
  <c r="AH45" i="13" s="1"/>
  <c r="AI45" i="13" s="1"/>
  <c r="AD45" i="13"/>
  <c r="AE45" i="13" s="1"/>
  <c r="AF45" i="13" s="1"/>
  <c r="AA45" i="13"/>
  <c r="AB45" i="13" s="1"/>
  <c r="AC45" i="13" s="1"/>
  <c r="X45" i="13"/>
  <c r="Y45" i="13" s="1"/>
  <c r="Z45" i="13" s="1"/>
  <c r="U45" i="13"/>
  <c r="V45" i="13" s="1"/>
  <c r="W45" i="13" s="1"/>
  <c r="J45" i="13"/>
  <c r="K45" i="13" s="1"/>
  <c r="G45" i="13"/>
  <c r="H45" i="13" s="1"/>
  <c r="C45" i="13"/>
  <c r="D45" i="13" s="1"/>
  <c r="E45" i="13" s="1"/>
  <c r="AP44" i="13"/>
  <c r="AJ44" i="13"/>
  <c r="AG44" i="13"/>
  <c r="AH44" i="13" s="1"/>
  <c r="AI44" i="13" s="1"/>
  <c r="AD44" i="13"/>
  <c r="AE44" i="13" s="1"/>
  <c r="AF44" i="13" s="1"/>
  <c r="AA44" i="13"/>
  <c r="AB44" i="13" s="1"/>
  <c r="AC44" i="13" s="1"/>
  <c r="X44" i="13"/>
  <c r="Y44" i="13" s="1"/>
  <c r="Z44" i="13" s="1"/>
  <c r="U44" i="13"/>
  <c r="V44" i="13" s="1"/>
  <c r="W44" i="13" s="1"/>
  <c r="J44" i="13"/>
  <c r="K44" i="13" s="1"/>
  <c r="G44" i="13"/>
  <c r="H44" i="13" s="1"/>
  <c r="C44" i="13"/>
  <c r="D44" i="13" s="1"/>
  <c r="E44" i="13" s="1"/>
  <c r="AP43" i="13"/>
  <c r="AJ43" i="13"/>
  <c r="AG43" i="13"/>
  <c r="AH43" i="13" s="1"/>
  <c r="AI43" i="13" s="1"/>
  <c r="AD43" i="13"/>
  <c r="AE43" i="13" s="1"/>
  <c r="AF43" i="13" s="1"/>
  <c r="AA43" i="13"/>
  <c r="AB43" i="13" s="1"/>
  <c r="AC43" i="13" s="1"/>
  <c r="X43" i="13"/>
  <c r="Y43" i="13" s="1"/>
  <c r="Z43" i="13" s="1"/>
  <c r="U43" i="13"/>
  <c r="V43" i="13" s="1"/>
  <c r="W43" i="13" s="1"/>
  <c r="J43" i="13"/>
  <c r="K43" i="13" s="1"/>
  <c r="G43" i="13"/>
  <c r="H43" i="13" s="1"/>
  <c r="C43" i="13"/>
  <c r="D43" i="13" s="1"/>
  <c r="E43" i="13" s="1"/>
  <c r="AP42" i="13"/>
  <c r="AJ42" i="13"/>
  <c r="AK42" i="13" s="1"/>
  <c r="AL42" i="13" s="1"/>
  <c r="AG42" i="13"/>
  <c r="AH42" i="13" s="1"/>
  <c r="AI42" i="13" s="1"/>
  <c r="AD42" i="13"/>
  <c r="AA42" i="13"/>
  <c r="AB42" i="13" s="1"/>
  <c r="AC42" i="13" s="1"/>
  <c r="X42" i="13"/>
  <c r="Y42" i="13" s="1"/>
  <c r="Z42" i="13" s="1"/>
  <c r="U42" i="13"/>
  <c r="V42" i="13" s="1"/>
  <c r="W42" i="13" s="1"/>
  <c r="J42" i="13"/>
  <c r="K42" i="13" s="1"/>
  <c r="G42" i="13"/>
  <c r="H42" i="13" s="1"/>
  <c r="C42" i="13"/>
  <c r="D42" i="13" s="1"/>
  <c r="E42" i="13" s="1"/>
  <c r="AP41" i="13"/>
  <c r="AJ41" i="13"/>
  <c r="AK41" i="13" s="1"/>
  <c r="AL41" i="13" s="1"/>
  <c r="AG41" i="13"/>
  <c r="AD41" i="13"/>
  <c r="AE41" i="13" s="1"/>
  <c r="AF41" i="13" s="1"/>
  <c r="AA41" i="13"/>
  <c r="AB41" i="13" s="1"/>
  <c r="AC41" i="13" s="1"/>
  <c r="X41" i="13"/>
  <c r="Y41" i="13" s="1"/>
  <c r="Z41" i="13" s="1"/>
  <c r="U41" i="13"/>
  <c r="V41" i="13" s="1"/>
  <c r="W41" i="13" s="1"/>
  <c r="J41" i="13"/>
  <c r="K41" i="13" s="1"/>
  <c r="G41" i="13"/>
  <c r="H41" i="13" s="1"/>
  <c r="C41" i="13"/>
  <c r="D41" i="13" s="1"/>
  <c r="E41" i="13" s="1"/>
  <c r="AP40" i="13"/>
  <c r="AV40" i="13" s="1"/>
  <c r="AJ40" i="13"/>
  <c r="AG40" i="13"/>
  <c r="AH40" i="13" s="1"/>
  <c r="AD40" i="13"/>
  <c r="AE40" i="13" s="1"/>
  <c r="AA40" i="13"/>
  <c r="AB40" i="13" s="1"/>
  <c r="X40" i="13"/>
  <c r="Y40" i="13" s="1"/>
  <c r="U40" i="13"/>
  <c r="V40" i="13" s="1"/>
  <c r="J40" i="13"/>
  <c r="G40" i="13"/>
  <c r="C40" i="13"/>
  <c r="D40" i="13" s="1"/>
  <c r="AP39" i="13"/>
  <c r="AJ39" i="13"/>
  <c r="AK39" i="13" s="1"/>
  <c r="AL39" i="13" s="1"/>
  <c r="AG39" i="13"/>
  <c r="AH39" i="13" s="1"/>
  <c r="AI39" i="13" s="1"/>
  <c r="AD39" i="13"/>
  <c r="AE39" i="13" s="1"/>
  <c r="AF39" i="13" s="1"/>
  <c r="AA39" i="13"/>
  <c r="AB39" i="13" s="1"/>
  <c r="AC39" i="13" s="1"/>
  <c r="X39" i="13"/>
  <c r="Y39" i="13" s="1"/>
  <c r="Z39" i="13" s="1"/>
  <c r="U39" i="13"/>
  <c r="V39" i="13" s="1"/>
  <c r="W39" i="13" s="1"/>
  <c r="M39" i="13"/>
  <c r="N39" i="13" s="1"/>
  <c r="BA39" i="13"/>
  <c r="J39" i="13"/>
  <c r="K39" i="13" s="1"/>
  <c r="G39" i="13"/>
  <c r="H39" i="13" s="1"/>
  <c r="C39" i="13"/>
  <c r="D39" i="13" s="1"/>
  <c r="E39" i="13" s="1"/>
  <c r="AP38" i="13"/>
  <c r="AJ38" i="13"/>
  <c r="AG38" i="13"/>
  <c r="AH38" i="13" s="1"/>
  <c r="AI38" i="13" s="1"/>
  <c r="AD38" i="13"/>
  <c r="AE38" i="13" s="1"/>
  <c r="AF38" i="13" s="1"/>
  <c r="AA38" i="13"/>
  <c r="AB38" i="13" s="1"/>
  <c r="AC38" i="13" s="1"/>
  <c r="X38" i="13"/>
  <c r="Y38" i="13" s="1"/>
  <c r="Z38" i="13" s="1"/>
  <c r="U38" i="13"/>
  <c r="V38" i="13" s="1"/>
  <c r="W38" i="13" s="1"/>
  <c r="J38" i="13"/>
  <c r="K38" i="13" s="1"/>
  <c r="G38" i="13"/>
  <c r="H38" i="13" s="1"/>
  <c r="C38" i="13"/>
  <c r="D38" i="13" s="1"/>
  <c r="E38" i="13" s="1"/>
  <c r="AP37" i="13"/>
  <c r="AJ37" i="13"/>
  <c r="AK37" i="13" s="1"/>
  <c r="AL37" i="13" s="1"/>
  <c r="AG37" i="13"/>
  <c r="AH37" i="13" s="1"/>
  <c r="AI37" i="13" s="1"/>
  <c r="AD37" i="13"/>
  <c r="AE37" i="13" s="1"/>
  <c r="AF37" i="13" s="1"/>
  <c r="AA37" i="13"/>
  <c r="AB37" i="13" s="1"/>
  <c r="AC37" i="13" s="1"/>
  <c r="X37" i="13"/>
  <c r="Y37" i="13" s="1"/>
  <c r="Z37" i="13" s="1"/>
  <c r="U37" i="13"/>
  <c r="BA37" i="13"/>
  <c r="J37" i="13"/>
  <c r="K37" i="13" s="1"/>
  <c r="G37" i="13"/>
  <c r="H37" i="13" s="1"/>
  <c r="C37" i="13"/>
  <c r="D37" i="13" s="1"/>
  <c r="E37" i="13" s="1"/>
  <c r="AP36" i="13"/>
  <c r="AJ36" i="13"/>
  <c r="AG36" i="13"/>
  <c r="AH36" i="13" s="1"/>
  <c r="AI36" i="13" s="1"/>
  <c r="AD36" i="13"/>
  <c r="AE36" i="13" s="1"/>
  <c r="AF36" i="13" s="1"/>
  <c r="AA36" i="13"/>
  <c r="AB36" i="13" s="1"/>
  <c r="AC36" i="13" s="1"/>
  <c r="X36" i="13"/>
  <c r="Y36" i="13" s="1"/>
  <c r="Z36" i="13" s="1"/>
  <c r="U36" i="13"/>
  <c r="V36" i="13" s="1"/>
  <c r="W36" i="13" s="1"/>
  <c r="S36" i="13"/>
  <c r="T36" i="13" s="1"/>
  <c r="BI36" i="13"/>
  <c r="BA36" i="13"/>
  <c r="J36" i="13"/>
  <c r="K36" i="13" s="1"/>
  <c r="G36" i="13"/>
  <c r="H36" i="13" s="1"/>
  <c r="C36" i="13"/>
  <c r="D36" i="13" s="1"/>
  <c r="E36" i="13" s="1"/>
  <c r="AP35" i="13"/>
  <c r="AJ35" i="13"/>
  <c r="AK35" i="13" s="1"/>
  <c r="AL35" i="13" s="1"/>
  <c r="AG35" i="13"/>
  <c r="AH35" i="13" s="1"/>
  <c r="AI35" i="13" s="1"/>
  <c r="AD35" i="13"/>
  <c r="AE35" i="13" s="1"/>
  <c r="AF35" i="13" s="1"/>
  <c r="AA35" i="13"/>
  <c r="AB35" i="13" s="1"/>
  <c r="AC35" i="13" s="1"/>
  <c r="X35" i="13"/>
  <c r="Y35" i="13" s="1"/>
  <c r="Z35" i="13" s="1"/>
  <c r="U35" i="13"/>
  <c r="V35" i="13" s="1"/>
  <c r="W35" i="13" s="1"/>
  <c r="J35" i="13"/>
  <c r="K35" i="13" s="1"/>
  <c r="G35" i="13"/>
  <c r="H35" i="13" s="1"/>
  <c r="C35" i="13"/>
  <c r="D35" i="13" s="1"/>
  <c r="E35" i="13" s="1"/>
  <c r="AP34" i="13"/>
  <c r="AJ34" i="13"/>
  <c r="AK34" i="13" s="1"/>
  <c r="AL34" i="13" s="1"/>
  <c r="AG34" i="13"/>
  <c r="AH34" i="13" s="1"/>
  <c r="AI34" i="13" s="1"/>
  <c r="AD34" i="13"/>
  <c r="AE34" i="13" s="1"/>
  <c r="AF34" i="13" s="1"/>
  <c r="AA34" i="13"/>
  <c r="AB34" i="13" s="1"/>
  <c r="AC34" i="13" s="1"/>
  <c r="X34" i="13"/>
  <c r="Y34" i="13" s="1"/>
  <c r="Z34" i="13" s="1"/>
  <c r="U34" i="13"/>
  <c r="V34" i="13" s="1"/>
  <c r="W34" i="13" s="1"/>
  <c r="J34" i="13"/>
  <c r="K34" i="13" s="1"/>
  <c r="G34" i="13"/>
  <c r="H34" i="13" s="1"/>
  <c r="C34" i="13"/>
  <c r="D34" i="13" s="1"/>
  <c r="E34" i="13" s="1"/>
  <c r="AP33" i="13"/>
  <c r="AV33" i="13" s="1"/>
  <c r="AJ33" i="13"/>
  <c r="AG33" i="13"/>
  <c r="AH33" i="13" s="1"/>
  <c r="AD33" i="13"/>
  <c r="AE33" i="13" s="1"/>
  <c r="AA33" i="13"/>
  <c r="AB33" i="13" s="1"/>
  <c r="X33" i="13"/>
  <c r="Y33" i="13" s="1"/>
  <c r="U33" i="13"/>
  <c r="V33" i="13" s="1"/>
  <c r="BE33" i="13"/>
  <c r="J33" i="13"/>
  <c r="G33" i="13"/>
  <c r="C33" i="13"/>
  <c r="D33" i="13" s="1"/>
  <c r="AP32" i="13"/>
  <c r="AJ32" i="13"/>
  <c r="AG32" i="13"/>
  <c r="AH32" i="13" s="1"/>
  <c r="AI32" i="13" s="1"/>
  <c r="AD32" i="13"/>
  <c r="AE32" i="13" s="1"/>
  <c r="AF32" i="13" s="1"/>
  <c r="AA32" i="13"/>
  <c r="AB32" i="13" s="1"/>
  <c r="AC32" i="13" s="1"/>
  <c r="X32" i="13"/>
  <c r="Y32" i="13" s="1"/>
  <c r="Z32" i="13" s="1"/>
  <c r="U32" i="13"/>
  <c r="V32" i="13" s="1"/>
  <c r="W32" i="13" s="1"/>
  <c r="J32" i="13"/>
  <c r="K32" i="13" s="1"/>
  <c r="G32" i="13"/>
  <c r="H32" i="13" s="1"/>
  <c r="C32" i="13"/>
  <c r="D32" i="13" s="1"/>
  <c r="E32" i="13" s="1"/>
  <c r="AP31" i="13"/>
  <c r="AJ31" i="13"/>
  <c r="AK31" i="13" s="1"/>
  <c r="AL31" i="13" s="1"/>
  <c r="AG31" i="13"/>
  <c r="AH31" i="13" s="1"/>
  <c r="AI31" i="13" s="1"/>
  <c r="AD31" i="13"/>
  <c r="AE31" i="13" s="1"/>
  <c r="AF31" i="13" s="1"/>
  <c r="AA31" i="13"/>
  <c r="AB31" i="13" s="1"/>
  <c r="AC31" i="13" s="1"/>
  <c r="X31" i="13"/>
  <c r="Y31" i="13" s="1"/>
  <c r="Z31" i="13" s="1"/>
  <c r="U31" i="13"/>
  <c r="V31" i="13" s="1"/>
  <c r="W31" i="13" s="1"/>
  <c r="J31" i="13"/>
  <c r="K31" i="13" s="1"/>
  <c r="G31" i="13"/>
  <c r="H31" i="13" s="1"/>
  <c r="C31" i="13"/>
  <c r="D31" i="13" s="1"/>
  <c r="E31" i="13" s="1"/>
  <c r="AP30" i="13"/>
  <c r="AJ30" i="13"/>
  <c r="AG30" i="13"/>
  <c r="AH30" i="13" s="1"/>
  <c r="AI30" i="13" s="1"/>
  <c r="AD30" i="13"/>
  <c r="AE30" i="13" s="1"/>
  <c r="AF30" i="13" s="1"/>
  <c r="AA30" i="13"/>
  <c r="AB30" i="13" s="1"/>
  <c r="AC30" i="13" s="1"/>
  <c r="X30" i="13"/>
  <c r="Y30" i="13" s="1"/>
  <c r="Z30" i="13" s="1"/>
  <c r="U30" i="13"/>
  <c r="V30" i="13" s="1"/>
  <c r="W30" i="13" s="1"/>
  <c r="J30" i="13"/>
  <c r="K30" i="13" s="1"/>
  <c r="G30" i="13"/>
  <c r="H30" i="13" s="1"/>
  <c r="C30" i="13"/>
  <c r="D30" i="13" s="1"/>
  <c r="E30" i="13" s="1"/>
  <c r="AP29" i="13"/>
  <c r="AV29" i="13" s="1"/>
  <c r="AJ29" i="13"/>
  <c r="AK29" i="13" s="1"/>
  <c r="AG29" i="13"/>
  <c r="AH29" i="13" s="1"/>
  <c r="AD29" i="13"/>
  <c r="AE29" i="13" s="1"/>
  <c r="AA29" i="13"/>
  <c r="AB29" i="13" s="1"/>
  <c r="X29" i="13"/>
  <c r="Y29" i="13" s="1"/>
  <c r="U29" i="13"/>
  <c r="V29" i="13" s="1"/>
  <c r="J29" i="13"/>
  <c r="G29" i="13"/>
  <c r="C29" i="13"/>
  <c r="D29" i="13" s="1"/>
  <c r="AP28" i="13"/>
  <c r="AJ28" i="13"/>
  <c r="AK28" i="13" s="1"/>
  <c r="AL28" i="13" s="1"/>
  <c r="AG28" i="13"/>
  <c r="AH28" i="13" s="1"/>
  <c r="AI28" i="13" s="1"/>
  <c r="AD28" i="13"/>
  <c r="AE28" i="13" s="1"/>
  <c r="AF28" i="13" s="1"/>
  <c r="AA28" i="13"/>
  <c r="AB28" i="13" s="1"/>
  <c r="AC28" i="13" s="1"/>
  <c r="X28" i="13"/>
  <c r="Y28" i="13" s="1"/>
  <c r="Z28" i="13" s="1"/>
  <c r="U28" i="13"/>
  <c r="V28" i="13" s="1"/>
  <c r="W28" i="13" s="1"/>
  <c r="J28" i="13"/>
  <c r="K28" i="13" s="1"/>
  <c r="G28" i="13"/>
  <c r="H28" i="13" s="1"/>
  <c r="C28" i="13"/>
  <c r="D28" i="13" s="1"/>
  <c r="E28" i="13" s="1"/>
  <c r="AP27" i="13"/>
  <c r="AV27" i="13" s="1"/>
  <c r="AJ27" i="13"/>
  <c r="AK27" i="13" s="1"/>
  <c r="AG27" i="13"/>
  <c r="AH27" i="13" s="1"/>
  <c r="AD27" i="13"/>
  <c r="AE27" i="13" s="1"/>
  <c r="AA27" i="13"/>
  <c r="AB27" i="13" s="1"/>
  <c r="X27" i="13"/>
  <c r="Y27" i="13" s="1"/>
  <c r="U27" i="13"/>
  <c r="V27" i="13" s="1"/>
  <c r="J27" i="13"/>
  <c r="G27" i="13"/>
  <c r="C27" i="13"/>
  <c r="D27" i="13" s="1"/>
  <c r="AP26" i="13"/>
  <c r="AJ26" i="13"/>
  <c r="AK26" i="13" s="1"/>
  <c r="AL26" i="13" s="1"/>
  <c r="AG26" i="13"/>
  <c r="AH26" i="13" s="1"/>
  <c r="AI26" i="13" s="1"/>
  <c r="AD26" i="13"/>
  <c r="AE26" i="13" s="1"/>
  <c r="AF26" i="13" s="1"/>
  <c r="AA26" i="13"/>
  <c r="AB26" i="13" s="1"/>
  <c r="AC26" i="13" s="1"/>
  <c r="X26" i="13"/>
  <c r="Y26" i="13" s="1"/>
  <c r="Z26" i="13" s="1"/>
  <c r="U26" i="13"/>
  <c r="V26" i="13" s="1"/>
  <c r="W26" i="13" s="1"/>
  <c r="J26" i="13"/>
  <c r="K26" i="13" s="1"/>
  <c r="G26" i="13"/>
  <c r="H26" i="13" s="1"/>
  <c r="C26" i="13"/>
  <c r="D26" i="13" s="1"/>
  <c r="E26" i="13" s="1"/>
  <c r="AP25" i="13"/>
  <c r="AJ25" i="13"/>
  <c r="AG25" i="13"/>
  <c r="AH25" i="13" s="1"/>
  <c r="AI25" i="13" s="1"/>
  <c r="AD25" i="13"/>
  <c r="AE25" i="13" s="1"/>
  <c r="AF25" i="13" s="1"/>
  <c r="AA25" i="13"/>
  <c r="AB25" i="13" s="1"/>
  <c r="AC25" i="13" s="1"/>
  <c r="X25" i="13"/>
  <c r="Y25" i="13" s="1"/>
  <c r="Z25" i="13" s="1"/>
  <c r="U25" i="13"/>
  <c r="V25" i="13" s="1"/>
  <c r="W25" i="13" s="1"/>
  <c r="M25" i="13"/>
  <c r="N25" i="13" s="1"/>
  <c r="J25" i="13"/>
  <c r="K25" i="13" s="1"/>
  <c r="G25" i="13"/>
  <c r="H25" i="13" s="1"/>
  <c r="D25" i="13"/>
  <c r="E25" i="13" s="1"/>
  <c r="AP24" i="13"/>
  <c r="AK24" i="13"/>
  <c r="AL24" i="13" s="1"/>
  <c r="AH24" i="13"/>
  <c r="AI24" i="13" s="1"/>
  <c r="AE24" i="13"/>
  <c r="AF24" i="13" s="1"/>
  <c r="AB24" i="13"/>
  <c r="AC24" i="13" s="1"/>
  <c r="Y24" i="13"/>
  <c r="Z24" i="13" s="1"/>
  <c r="U24" i="13"/>
  <c r="V24" i="13" s="1"/>
  <c r="W24" i="13" s="1"/>
  <c r="J24" i="13"/>
  <c r="K24" i="13" s="1"/>
  <c r="G24" i="13"/>
  <c r="H24" i="13" s="1"/>
  <c r="C24" i="13"/>
  <c r="D24" i="13" s="1"/>
  <c r="E24" i="13" s="1"/>
  <c r="AP23" i="13"/>
  <c r="AJ23" i="13"/>
  <c r="AK23" i="13" s="1"/>
  <c r="AL23" i="13" s="1"/>
  <c r="AG23" i="13"/>
  <c r="AH23" i="13" s="1"/>
  <c r="AI23" i="13" s="1"/>
  <c r="AD23" i="13"/>
  <c r="AE23" i="13" s="1"/>
  <c r="AF23" i="13" s="1"/>
  <c r="AA23" i="13"/>
  <c r="AB23" i="13" s="1"/>
  <c r="AC23" i="13" s="1"/>
  <c r="X23" i="13"/>
  <c r="Y23" i="13" s="1"/>
  <c r="Z23" i="13" s="1"/>
  <c r="U23" i="13"/>
  <c r="V23" i="13" s="1"/>
  <c r="W23" i="13" s="1"/>
  <c r="J23" i="13"/>
  <c r="K23" i="13" s="1"/>
  <c r="G23" i="13"/>
  <c r="H23" i="13" s="1"/>
  <c r="C23" i="13"/>
  <c r="D23" i="13" s="1"/>
  <c r="E23" i="13" s="1"/>
  <c r="AP22" i="13"/>
  <c r="AJ22" i="13"/>
  <c r="AK22" i="13" s="1"/>
  <c r="AL22" i="13" s="1"/>
  <c r="AG22" i="13"/>
  <c r="AH22" i="13" s="1"/>
  <c r="AI22" i="13" s="1"/>
  <c r="AD22" i="13"/>
  <c r="AE22" i="13" s="1"/>
  <c r="AF22" i="13" s="1"/>
  <c r="AA22" i="13"/>
  <c r="AB22" i="13" s="1"/>
  <c r="AC22" i="13" s="1"/>
  <c r="X22" i="13"/>
  <c r="Y22" i="13" s="1"/>
  <c r="Z22" i="13" s="1"/>
  <c r="U22" i="13"/>
  <c r="V22" i="13" s="1"/>
  <c r="W22" i="13" s="1"/>
  <c r="J22" i="13"/>
  <c r="K22" i="13" s="1"/>
  <c r="G22" i="13"/>
  <c r="H22" i="13" s="1"/>
  <c r="C22" i="13"/>
  <c r="D22" i="13" s="1"/>
  <c r="E22" i="13" s="1"/>
  <c r="AP21" i="13"/>
  <c r="AJ21" i="13"/>
  <c r="AK21" i="13" s="1"/>
  <c r="AL21" i="13" s="1"/>
  <c r="AG21" i="13"/>
  <c r="AH21" i="13" s="1"/>
  <c r="AI21" i="13" s="1"/>
  <c r="AD21" i="13"/>
  <c r="AE21" i="13" s="1"/>
  <c r="AF21" i="13" s="1"/>
  <c r="AA21" i="13"/>
  <c r="AB21" i="13" s="1"/>
  <c r="AC21" i="13" s="1"/>
  <c r="X21" i="13"/>
  <c r="Y21" i="13" s="1"/>
  <c r="Z21" i="13" s="1"/>
  <c r="U21" i="13"/>
  <c r="V21" i="13" s="1"/>
  <c r="W21" i="13" s="1"/>
  <c r="J21" i="13"/>
  <c r="K21" i="13" s="1"/>
  <c r="G21" i="13"/>
  <c r="H21" i="13" s="1"/>
  <c r="C21" i="13"/>
  <c r="D21" i="13" s="1"/>
  <c r="E21" i="13" s="1"/>
  <c r="AP20" i="13"/>
  <c r="AJ20" i="13"/>
  <c r="AK20" i="13" s="1"/>
  <c r="AL20" i="13" s="1"/>
  <c r="AG20" i="13"/>
  <c r="AH20" i="13" s="1"/>
  <c r="AI20" i="13" s="1"/>
  <c r="AD20" i="13"/>
  <c r="AE20" i="13" s="1"/>
  <c r="AF20" i="13" s="1"/>
  <c r="AA20" i="13"/>
  <c r="AB20" i="13" s="1"/>
  <c r="AC20" i="13" s="1"/>
  <c r="X20" i="13"/>
  <c r="Y20" i="13" s="1"/>
  <c r="Z20" i="13" s="1"/>
  <c r="U20" i="13"/>
  <c r="V20" i="13" s="1"/>
  <c r="W20" i="13" s="1"/>
  <c r="J20" i="13"/>
  <c r="K20" i="13" s="1"/>
  <c r="G20" i="13"/>
  <c r="H20" i="13" s="1"/>
  <c r="C20" i="13"/>
  <c r="D20" i="13" s="1"/>
  <c r="E20" i="13" s="1"/>
  <c r="AP19" i="13"/>
  <c r="AJ19" i="13"/>
  <c r="AK19" i="13" s="1"/>
  <c r="AL19" i="13" s="1"/>
  <c r="AG19" i="13"/>
  <c r="AH19" i="13" s="1"/>
  <c r="AI19" i="13" s="1"/>
  <c r="AD19" i="13"/>
  <c r="AA19" i="13"/>
  <c r="AB19" i="13" s="1"/>
  <c r="AC19" i="13" s="1"/>
  <c r="X19" i="13"/>
  <c r="Y19" i="13" s="1"/>
  <c r="Z19" i="13" s="1"/>
  <c r="U19" i="13"/>
  <c r="V19" i="13" s="1"/>
  <c r="W19" i="13" s="1"/>
  <c r="BA19" i="13"/>
  <c r="J19" i="13"/>
  <c r="K19" i="13" s="1"/>
  <c r="G19" i="13"/>
  <c r="H19" i="13" s="1"/>
  <c r="C19" i="13"/>
  <c r="D19" i="13" s="1"/>
  <c r="E19" i="13" s="1"/>
  <c r="AP18" i="13"/>
  <c r="AJ18" i="13"/>
  <c r="AK18" i="13" s="1"/>
  <c r="AL18" i="13" s="1"/>
  <c r="AG18" i="13"/>
  <c r="AD18" i="13"/>
  <c r="AE18" i="13" s="1"/>
  <c r="AF18" i="13" s="1"/>
  <c r="AA18" i="13"/>
  <c r="AB18" i="13" s="1"/>
  <c r="AC18" i="13" s="1"/>
  <c r="X18" i="13"/>
  <c r="Y18" i="13" s="1"/>
  <c r="Z18" i="13" s="1"/>
  <c r="U18" i="13"/>
  <c r="V18" i="13" s="1"/>
  <c r="W18" i="13" s="1"/>
  <c r="J18" i="13"/>
  <c r="K18" i="13" s="1"/>
  <c r="G18" i="13"/>
  <c r="H18" i="13" s="1"/>
  <c r="C18" i="13"/>
  <c r="D18" i="13" s="1"/>
  <c r="E18" i="13" s="1"/>
  <c r="AP17" i="13"/>
  <c r="AJ17" i="13"/>
  <c r="AG17" i="13"/>
  <c r="AH17" i="13" s="1"/>
  <c r="AI17" i="13" s="1"/>
  <c r="AD17" i="13"/>
  <c r="AE17" i="13" s="1"/>
  <c r="AF17" i="13" s="1"/>
  <c r="AA17" i="13"/>
  <c r="AB17" i="13" s="1"/>
  <c r="AC17" i="13" s="1"/>
  <c r="X17" i="13"/>
  <c r="Y17" i="13" s="1"/>
  <c r="Z17" i="13" s="1"/>
  <c r="U17" i="13"/>
  <c r="V17" i="13" s="1"/>
  <c r="W17" i="13" s="1"/>
  <c r="J17" i="13"/>
  <c r="K17" i="13" s="1"/>
  <c r="G17" i="13"/>
  <c r="H17" i="13" s="1"/>
  <c r="C17" i="13"/>
  <c r="D17" i="13" s="1"/>
  <c r="E17" i="13" s="1"/>
  <c r="AP16" i="13"/>
  <c r="AJ16" i="13"/>
  <c r="AG16" i="13"/>
  <c r="AH16" i="13" s="1"/>
  <c r="AI16" i="13" s="1"/>
  <c r="AD16" i="13"/>
  <c r="AE16" i="13" s="1"/>
  <c r="AF16" i="13" s="1"/>
  <c r="AA16" i="13"/>
  <c r="AB16" i="13" s="1"/>
  <c r="AC16" i="13" s="1"/>
  <c r="X16" i="13"/>
  <c r="Y16" i="13" s="1"/>
  <c r="Z16" i="13" s="1"/>
  <c r="U16" i="13"/>
  <c r="V16" i="13" s="1"/>
  <c r="W16" i="13" s="1"/>
  <c r="BA16" i="13"/>
  <c r="J16" i="13"/>
  <c r="K16" i="13" s="1"/>
  <c r="G16" i="13"/>
  <c r="H16" i="13" s="1"/>
  <c r="C16" i="13"/>
  <c r="D16" i="13" s="1"/>
  <c r="E16" i="13" s="1"/>
  <c r="AP15" i="13"/>
  <c r="AV15" i="13" s="1"/>
  <c r="AJ15" i="13"/>
  <c r="AG15" i="13"/>
  <c r="AH15" i="13" s="1"/>
  <c r="AD15" i="13"/>
  <c r="AE15" i="13" s="1"/>
  <c r="AA15" i="13"/>
  <c r="AB15" i="13" s="1"/>
  <c r="X15" i="13"/>
  <c r="Y15" i="13" s="1"/>
  <c r="U15" i="13"/>
  <c r="V15" i="13" s="1"/>
  <c r="J15" i="13"/>
  <c r="G15" i="13"/>
  <c r="C15" i="13"/>
  <c r="D15" i="13" s="1"/>
  <c r="AP14" i="13"/>
  <c r="AV14" i="13" s="1"/>
  <c r="AJ14" i="13"/>
  <c r="AK14" i="13" s="1"/>
  <c r="AG14" i="13"/>
  <c r="AH14" i="13" s="1"/>
  <c r="AD14" i="13"/>
  <c r="AE14" i="13" s="1"/>
  <c r="AA14" i="13"/>
  <c r="AB14" i="13" s="1"/>
  <c r="X14" i="13"/>
  <c r="Y14" i="13" s="1"/>
  <c r="U14" i="13"/>
  <c r="V14" i="13" s="1"/>
  <c r="BA14" i="13"/>
  <c r="J14" i="13"/>
  <c r="G14" i="13"/>
  <c r="C14" i="13"/>
  <c r="D14" i="13" s="1"/>
  <c r="AP13" i="13"/>
  <c r="AJ13" i="13"/>
  <c r="AK13" i="13" s="1"/>
  <c r="AL13" i="13" s="1"/>
  <c r="AG13" i="13"/>
  <c r="AH13" i="13" s="1"/>
  <c r="AI13" i="13" s="1"/>
  <c r="AD13" i="13"/>
  <c r="AA13" i="13"/>
  <c r="AB13" i="13" s="1"/>
  <c r="AC13" i="13" s="1"/>
  <c r="X13" i="13"/>
  <c r="Y13" i="13" s="1"/>
  <c r="Z13" i="13" s="1"/>
  <c r="U13" i="13"/>
  <c r="V13" i="13" s="1"/>
  <c r="W13" i="13" s="1"/>
  <c r="BA13" i="13"/>
  <c r="J13" i="13"/>
  <c r="K13" i="13" s="1"/>
  <c r="G13" i="13"/>
  <c r="H13" i="13" s="1"/>
  <c r="C13" i="13"/>
  <c r="D13" i="13" s="1"/>
  <c r="E13" i="13" s="1"/>
  <c r="AP12" i="13"/>
  <c r="AJ12" i="13"/>
  <c r="AK12" i="13" s="1"/>
  <c r="AL12" i="13" s="1"/>
  <c r="AG12" i="13"/>
  <c r="AH12" i="13" s="1"/>
  <c r="AI12" i="13" s="1"/>
  <c r="AD12" i="13"/>
  <c r="AE12" i="13" s="1"/>
  <c r="AF12" i="13" s="1"/>
  <c r="AA12" i="13"/>
  <c r="AB12" i="13" s="1"/>
  <c r="AC12" i="13" s="1"/>
  <c r="Y12" i="13"/>
  <c r="Z12" i="13" s="1"/>
  <c r="X12" i="13"/>
  <c r="U12" i="13"/>
  <c r="V12" i="13" s="1"/>
  <c r="W12" i="13" s="1"/>
  <c r="J12" i="13"/>
  <c r="K12" i="13" s="1"/>
  <c r="G12" i="13"/>
  <c r="H12" i="13" s="1"/>
  <c r="C12" i="13"/>
  <c r="D12" i="13" s="1"/>
  <c r="E12" i="13" s="1"/>
  <c r="AP11" i="13"/>
  <c r="AJ11" i="13"/>
  <c r="AK11" i="13" s="1"/>
  <c r="AL11" i="13" s="1"/>
  <c r="AG11" i="13"/>
  <c r="AD11" i="13"/>
  <c r="AE11" i="13" s="1"/>
  <c r="AF11" i="13" s="1"/>
  <c r="AA11" i="13"/>
  <c r="AB11" i="13" s="1"/>
  <c r="AC11" i="13" s="1"/>
  <c r="X11" i="13"/>
  <c r="Y11" i="13" s="1"/>
  <c r="Z11" i="13" s="1"/>
  <c r="U11" i="13"/>
  <c r="V11" i="13" s="1"/>
  <c r="W11" i="13" s="1"/>
  <c r="S11" i="13"/>
  <c r="T11" i="13" s="1"/>
  <c r="P11" i="13"/>
  <c r="Q11" i="13" s="1"/>
  <c r="M11" i="13"/>
  <c r="N11" i="13" s="1"/>
  <c r="J11" i="13"/>
  <c r="K11" i="13" s="1"/>
  <c r="G11" i="13"/>
  <c r="H11" i="13" s="1"/>
  <c r="D11" i="13"/>
  <c r="E11" i="13" s="1"/>
  <c r="AP10" i="13"/>
  <c r="AJ10" i="13"/>
  <c r="AG10" i="13"/>
  <c r="AH10" i="13" s="1"/>
  <c r="AI10" i="13" s="1"/>
  <c r="AD10" i="13"/>
  <c r="AE10" i="13" s="1"/>
  <c r="AF10" i="13" s="1"/>
  <c r="AA10" i="13"/>
  <c r="AB10" i="13" s="1"/>
  <c r="AC10" i="13" s="1"/>
  <c r="X10" i="13"/>
  <c r="Y10" i="13" s="1"/>
  <c r="Z10" i="13" s="1"/>
  <c r="U10" i="13"/>
  <c r="V10" i="13" s="1"/>
  <c r="W10" i="13" s="1"/>
  <c r="J10" i="13"/>
  <c r="K10" i="13" s="1"/>
  <c r="G10" i="13"/>
  <c r="H10" i="13" s="1"/>
  <c r="C10" i="13"/>
  <c r="D10" i="13" s="1"/>
  <c r="E10" i="13" s="1"/>
  <c r="AP9" i="13"/>
  <c r="AJ9" i="13"/>
  <c r="AK9" i="13" s="1"/>
  <c r="AL9" i="13" s="1"/>
  <c r="AG9" i="13"/>
  <c r="AH9" i="13" s="1"/>
  <c r="AI9" i="13" s="1"/>
  <c r="AD9" i="13"/>
  <c r="AE9" i="13" s="1"/>
  <c r="AF9" i="13" s="1"/>
  <c r="AA9" i="13"/>
  <c r="AB9" i="13" s="1"/>
  <c r="AC9" i="13" s="1"/>
  <c r="X9" i="13"/>
  <c r="Y9" i="13" s="1"/>
  <c r="Z9" i="13" s="1"/>
  <c r="U9" i="13"/>
  <c r="V9" i="13" s="1"/>
  <c r="W9" i="13" s="1"/>
  <c r="J9" i="13"/>
  <c r="K9" i="13" s="1"/>
  <c r="G9" i="13"/>
  <c r="H9" i="13" s="1"/>
  <c r="C9" i="13"/>
  <c r="D9" i="13" s="1"/>
  <c r="E9" i="13" s="1"/>
  <c r="AP8" i="13"/>
  <c r="AJ8" i="13"/>
  <c r="AK8" i="13" s="1"/>
  <c r="AL8" i="13" s="1"/>
  <c r="AG8" i="13"/>
  <c r="AH8" i="13" s="1"/>
  <c r="AI8" i="13" s="1"/>
  <c r="AD8" i="13"/>
  <c r="AA8" i="13"/>
  <c r="AB8" i="13" s="1"/>
  <c r="AC8" i="13" s="1"/>
  <c r="X8" i="13"/>
  <c r="Y8" i="13" s="1"/>
  <c r="Z8" i="13" s="1"/>
  <c r="U8" i="13"/>
  <c r="V8" i="13" s="1"/>
  <c r="W8" i="13" s="1"/>
  <c r="J8" i="13"/>
  <c r="K8" i="13" s="1"/>
  <c r="G8" i="13"/>
  <c r="H8" i="13" s="1"/>
  <c r="C8" i="13"/>
  <c r="D8" i="13" s="1"/>
  <c r="E8" i="13" s="1"/>
  <c r="AP7" i="13"/>
  <c r="AV7" i="13" s="1"/>
  <c r="AJ7" i="13"/>
  <c r="AK7" i="13" s="1"/>
  <c r="AG7" i="13"/>
  <c r="AH7" i="13" s="1"/>
  <c r="AD7" i="13"/>
  <c r="AE7" i="13" s="1"/>
  <c r="AA7" i="13"/>
  <c r="AB7" i="13" s="1"/>
  <c r="X7" i="13"/>
  <c r="Y7" i="13" s="1"/>
  <c r="U7" i="13"/>
  <c r="V7" i="13" s="1"/>
  <c r="J7" i="13"/>
  <c r="G7" i="13"/>
  <c r="C7" i="13"/>
  <c r="D7" i="13" s="1"/>
  <c r="AP6" i="13"/>
  <c r="AJ6" i="13"/>
  <c r="AK6" i="13" s="1"/>
  <c r="AL6" i="13" s="1"/>
  <c r="AG6" i="13"/>
  <c r="AH6" i="13" s="1"/>
  <c r="AI6" i="13" s="1"/>
  <c r="AD6" i="13"/>
  <c r="AE6" i="13" s="1"/>
  <c r="AF6" i="13" s="1"/>
  <c r="AA6" i="13"/>
  <c r="AB6" i="13" s="1"/>
  <c r="AC6" i="13" s="1"/>
  <c r="X6" i="13"/>
  <c r="U6" i="13"/>
  <c r="V6" i="13" s="1"/>
  <c r="W6" i="13" s="1"/>
  <c r="J6" i="13"/>
  <c r="K6" i="13" s="1"/>
  <c r="G6" i="13"/>
  <c r="H6" i="13" s="1"/>
  <c r="C6" i="13"/>
  <c r="D6" i="13" s="1"/>
  <c r="E6" i="13" s="1"/>
  <c r="AP5" i="13"/>
  <c r="AV5" i="13" s="1"/>
  <c r="AJ5" i="13"/>
  <c r="AG5" i="13"/>
  <c r="AH5" i="13" s="1"/>
  <c r="AD5" i="13"/>
  <c r="AE5" i="13" s="1"/>
  <c r="AA5" i="13"/>
  <c r="AB5" i="13" s="1"/>
  <c r="X5" i="13"/>
  <c r="Y5" i="13" s="1"/>
  <c r="U5" i="13"/>
  <c r="V5" i="13" s="1"/>
  <c r="J5" i="13"/>
  <c r="G5" i="13"/>
  <c r="C5" i="13"/>
  <c r="D5" i="13" s="1"/>
  <c r="AP4" i="13"/>
  <c r="AJ4" i="13"/>
  <c r="AG4" i="13"/>
  <c r="AH4" i="13" s="1"/>
  <c r="AI4" i="13" s="1"/>
  <c r="AD4" i="13"/>
  <c r="AE4" i="13" s="1"/>
  <c r="AF4" i="13" s="1"/>
  <c r="AA4" i="13"/>
  <c r="AB4" i="13" s="1"/>
  <c r="AC4" i="13" s="1"/>
  <c r="X4" i="13"/>
  <c r="Y4" i="13" s="1"/>
  <c r="Z4" i="13" s="1"/>
  <c r="U4" i="13"/>
  <c r="V4" i="13" s="1"/>
  <c r="W4" i="13" s="1"/>
  <c r="J4" i="13"/>
  <c r="K4" i="13" s="1"/>
  <c r="G4" i="13"/>
  <c r="H4" i="13" s="1"/>
  <c r="C4" i="13"/>
  <c r="D4" i="13" s="1"/>
  <c r="E4" i="13" s="1"/>
  <c r="AI129" i="12"/>
  <c r="AF129" i="12"/>
  <c r="AC129" i="12"/>
  <c r="Z129" i="12"/>
  <c r="W129" i="12"/>
  <c r="T129" i="12"/>
  <c r="Q129" i="12"/>
  <c r="N129" i="12"/>
  <c r="K129" i="12"/>
  <c r="H129" i="12"/>
  <c r="E129" i="12"/>
  <c r="AL125" i="12"/>
  <c r="AJ125" i="12"/>
  <c r="AI125" i="12"/>
  <c r="AG125" i="12"/>
  <c r="AF125" i="12"/>
  <c r="AF127" i="12" s="1"/>
  <c r="AD125" i="12"/>
  <c r="AC125" i="12"/>
  <c r="AA125" i="12"/>
  <c r="Z125" i="12"/>
  <c r="X125" i="12"/>
  <c r="W125" i="12"/>
  <c r="W127" i="12" s="1"/>
  <c r="U125" i="12"/>
  <c r="T125" i="12"/>
  <c r="T127" i="12" s="1"/>
  <c r="R125" i="12"/>
  <c r="Q125" i="12"/>
  <c r="Q127" i="12" s="1"/>
  <c r="O125" i="12"/>
  <c r="N125" i="12"/>
  <c r="L125" i="12"/>
  <c r="K125" i="12"/>
  <c r="I125" i="12"/>
  <c r="H125" i="12"/>
  <c r="H127" i="12" s="1"/>
  <c r="F125" i="12"/>
  <c r="E125" i="12"/>
  <c r="C125" i="12"/>
  <c r="AR94" i="12"/>
  <c r="AP93" i="12"/>
  <c r="AK93" i="12"/>
  <c r="AL93" i="12" s="1"/>
  <c r="AH93" i="12"/>
  <c r="AI93" i="12" s="1"/>
  <c r="AE93" i="12"/>
  <c r="AF93" i="12" s="1"/>
  <c r="AB93" i="12"/>
  <c r="AC93" i="12" s="1"/>
  <c r="Y93" i="12"/>
  <c r="Z93" i="12" s="1"/>
  <c r="U93" i="12"/>
  <c r="V93" i="12" s="1"/>
  <c r="W93" i="12" s="1"/>
  <c r="R93" i="12"/>
  <c r="S93" i="12" s="1"/>
  <c r="T93" i="12" s="1"/>
  <c r="O93" i="12"/>
  <c r="P93" i="12" s="1"/>
  <c r="Q93" i="12" s="1"/>
  <c r="L93" i="12"/>
  <c r="M93" i="12" s="1"/>
  <c r="N93" i="12" s="1"/>
  <c r="I93" i="12"/>
  <c r="F93" i="12"/>
  <c r="AW93" i="12" s="1"/>
  <c r="AY93" i="12" s="1"/>
  <c r="C93" i="12"/>
  <c r="D93" i="12" s="1"/>
  <c r="E93" i="12" s="1"/>
  <c r="AP92" i="12"/>
  <c r="AJ92" i="12"/>
  <c r="AG92" i="12"/>
  <c r="AH92" i="12" s="1"/>
  <c r="AI92" i="12" s="1"/>
  <c r="AD92" i="12"/>
  <c r="AE92" i="12" s="1"/>
  <c r="AF92" i="12" s="1"/>
  <c r="AA92" i="12"/>
  <c r="AB92" i="12" s="1"/>
  <c r="AC92" i="12" s="1"/>
  <c r="X92" i="12"/>
  <c r="Y92" i="12" s="1"/>
  <c r="Z92" i="12" s="1"/>
  <c r="U92" i="12"/>
  <c r="V92" i="12" s="1"/>
  <c r="W92" i="12" s="1"/>
  <c r="R92" i="12"/>
  <c r="S92" i="12" s="1"/>
  <c r="T92" i="12" s="1"/>
  <c r="O92" i="12"/>
  <c r="P92" i="12" s="1"/>
  <c r="Q92" i="12" s="1"/>
  <c r="L92" i="12"/>
  <c r="M92" i="12" s="1"/>
  <c r="N92" i="12" s="1"/>
  <c r="I92" i="12"/>
  <c r="F92" i="12"/>
  <c r="C92" i="12"/>
  <c r="D92" i="12" s="1"/>
  <c r="E92" i="12" s="1"/>
  <c r="AP91" i="12"/>
  <c r="AJ91" i="12"/>
  <c r="AG91" i="12"/>
  <c r="AH91" i="12" s="1"/>
  <c r="AI91" i="12" s="1"/>
  <c r="AD91" i="12"/>
  <c r="AE91" i="12" s="1"/>
  <c r="AF91" i="12" s="1"/>
  <c r="AA91" i="12"/>
  <c r="AB91" i="12" s="1"/>
  <c r="AC91" i="12" s="1"/>
  <c r="X91" i="12"/>
  <c r="Y91" i="12" s="1"/>
  <c r="Z91" i="12" s="1"/>
  <c r="U91" i="12"/>
  <c r="V91" i="12" s="1"/>
  <c r="W91" i="12" s="1"/>
  <c r="R91" i="12"/>
  <c r="S91" i="12" s="1"/>
  <c r="T91" i="12" s="1"/>
  <c r="O91" i="12"/>
  <c r="P91" i="12" s="1"/>
  <c r="Q91" i="12" s="1"/>
  <c r="L91" i="12"/>
  <c r="M91" i="12" s="1"/>
  <c r="N91" i="12" s="1"/>
  <c r="I91" i="12"/>
  <c r="F91" i="12"/>
  <c r="C91" i="12"/>
  <c r="D91" i="12" s="1"/>
  <c r="E91" i="12" s="1"/>
  <c r="AP90" i="12"/>
  <c r="AJ90" i="12"/>
  <c r="AG90" i="12"/>
  <c r="AH90" i="12" s="1"/>
  <c r="AI90" i="12" s="1"/>
  <c r="AD90" i="12"/>
  <c r="AE90" i="12" s="1"/>
  <c r="AF90" i="12" s="1"/>
  <c r="AA90" i="12"/>
  <c r="AB90" i="12" s="1"/>
  <c r="AC90" i="12" s="1"/>
  <c r="X90" i="12"/>
  <c r="Y90" i="12" s="1"/>
  <c r="Z90" i="12" s="1"/>
  <c r="U90" i="12"/>
  <c r="V90" i="12" s="1"/>
  <c r="W90" i="12" s="1"/>
  <c r="R90" i="12"/>
  <c r="S90" i="12" s="1"/>
  <c r="T90" i="12" s="1"/>
  <c r="O90" i="12"/>
  <c r="P90" i="12" s="1"/>
  <c r="Q90" i="12" s="1"/>
  <c r="L90" i="12"/>
  <c r="M90" i="12" s="1"/>
  <c r="N90" i="12" s="1"/>
  <c r="I90" i="12"/>
  <c r="F90" i="12"/>
  <c r="C90" i="12"/>
  <c r="D90" i="12" s="1"/>
  <c r="E90" i="12" s="1"/>
  <c r="AP89" i="12"/>
  <c r="AJ89" i="12"/>
  <c r="AK89" i="12" s="1"/>
  <c r="AL89" i="12" s="1"/>
  <c r="AG89" i="12"/>
  <c r="AH89" i="12" s="1"/>
  <c r="AI89" i="12" s="1"/>
  <c r="AD89" i="12"/>
  <c r="AE89" i="12" s="1"/>
  <c r="AF89" i="12" s="1"/>
  <c r="AA89" i="12"/>
  <c r="AB89" i="12" s="1"/>
  <c r="AC89" i="12" s="1"/>
  <c r="X89" i="12"/>
  <c r="Y89" i="12" s="1"/>
  <c r="Z89" i="12" s="1"/>
  <c r="U89" i="12"/>
  <c r="V89" i="12" s="1"/>
  <c r="W89" i="12" s="1"/>
  <c r="R89" i="12"/>
  <c r="S89" i="12" s="1"/>
  <c r="T89" i="12" s="1"/>
  <c r="O89" i="12"/>
  <c r="P89" i="12" s="1"/>
  <c r="Q89" i="12" s="1"/>
  <c r="L89" i="12"/>
  <c r="M89" i="12" s="1"/>
  <c r="N89" i="12" s="1"/>
  <c r="I89" i="12"/>
  <c r="F89" i="12"/>
  <c r="C89" i="12"/>
  <c r="D89" i="12" s="1"/>
  <c r="E89" i="12" s="1"/>
  <c r="AP88" i="12"/>
  <c r="AJ88" i="12"/>
  <c r="AK88" i="12" s="1"/>
  <c r="AL88" i="12" s="1"/>
  <c r="AG88" i="12"/>
  <c r="AH88" i="12" s="1"/>
  <c r="AI88" i="12" s="1"/>
  <c r="AD88" i="12"/>
  <c r="AE88" i="12" s="1"/>
  <c r="AF88" i="12" s="1"/>
  <c r="AA88" i="12"/>
  <c r="AB88" i="12" s="1"/>
  <c r="AC88" i="12" s="1"/>
  <c r="X88" i="12"/>
  <c r="Y88" i="12" s="1"/>
  <c r="Z88" i="12" s="1"/>
  <c r="U88" i="12"/>
  <c r="V88" i="12" s="1"/>
  <c r="W88" i="12" s="1"/>
  <c r="R88" i="12"/>
  <c r="S88" i="12" s="1"/>
  <c r="T88" i="12" s="1"/>
  <c r="O88" i="12"/>
  <c r="P88" i="12" s="1"/>
  <c r="Q88" i="12" s="1"/>
  <c r="L88" i="12"/>
  <c r="M88" i="12" s="1"/>
  <c r="N88" i="12" s="1"/>
  <c r="I88" i="12"/>
  <c r="F88" i="12"/>
  <c r="C88" i="12"/>
  <c r="D88" i="12" s="1"/>
  <c r="E88" i="12" s="1"/>
  <c r="AP87" i="12"/>
  <c r="AJ87" i="12"/>
  <c r="AK87" i="12" s="1"/>
  <c r="AL87" i="12" s="1"/>
  <c r="AG87" i="12"/>
  <c r="AH87" i="12" s="1"/>
  <c r="AI87" i="12" s="1"/>
  <c r="AD87" i="12"/>
  <c r="AA87" i="12"/>
  <c r="AB87" i="12" s="1"/>
  <c r="AC87" i="12" s="1"/>
  <c r="X87" i="12"/>
  <c r="Y87" i="12" s="1"/>
  <c r="Z87" i="12" s="1"/>
  <c r="U87" i="12"/>
  <c r="V87" i="12" s="1"/>
  <c r="W87" i="12" s="1"/>
  <c r="R87" i="12"/>
  <c r="S87" i="12" s="1"/>
  <c r="T87" i="12" s="1"/>
  <c r="O87" i="12"/>
  <c r="P87" i="12" s="1"/>
  <c r="Q87" i="12" s="1"/>
  <c r="L87" i="12"/>
  <c r="M87" i="12" s="1"/>
  <c r="N87" i="12" s="1"/>
  <c r="I87" i="12"/>
  <c r="F87" i="12"/>
  <c r="C87" i="12"/>
  <c r="D87" i="12" s="1"/>
  <c r="E87" i="12" s="1"/>
  <c r="AP86" i="12"/>
  <c r="AJ86" i="12"/>
  <c r="AG86" i="12"/>
  <c r="AH86" i="12" s="1"/>
  <c r="AI86" i="12" s="1"/>
  <c r="AD86" i="12"/>
  <c r="AE86" i="12" s="1"/>
  <c r="AF86" i="12" s="1"/>
  <c r="AA86" i="12"/>
  <c r="AB86" i="12" s="1"/>
  <c r="AC86" i="12" s="1"/>
  <c r="X86" i="12"/>
  <c r="Y86" i="12" s="1"/>
  <c r="Z86" i="12" s="1"/>
  <c r="U86" i="12"/>
  <c r="V86" i="12" s="1"/>
  <c r="W86" i="12" s="1"/>
  <c r="R86" i="12"/>
  <c r="S86" i="12" s="1"/>
  <c r="T86" i="12" s="1"/>
  <c r="O86" i="12"/>
  <c r="P86" i="12" s="1"/>
  <c r="Q86" i="12" s="1"/>
  <c r="L86" i="12"/>
  <c r="M86" i="12" s="1"/>
  <c r="N86" i="12" s="1"/>
  <c r="I86" i="12"/>
  <c r="F86" i="12"/>
  <c r="C86" i="12"/>
  <c r="D86" i="12" s="1"/>
  <c r="E86" i="12" s="1"/>
  <c r="AP85" i="12"/>
  <c r="AJ85" i="12"/>
  <c r="AK85" i="12" s="1"/>
  <c r="AL85" i="12" s="1"/>
  <c r="AG85" i="12"/>
  <c r="AH85" i="12" s="1"/>
  <c r="AI85" i="12" s="1"/>
  <c r="AD85" i="12"/>
  <c r="AE85" i="12" s="1"/>
  <c r="AF85" i="12" s="1"/>
  <c r="AA85" i="12"/>
  <c r="AB85" i="12" s="1"/>
  <c r="AC85" i="12" s="1"/>
  <c r="X85" i="12"/>
  <c r="Y85" i="12" s="1"/>
  <c r="Z85" i="12" s="1"/>
  <c r="U85" i="12"/>
  <c r="V85" i="12" s="1"/>
  <c r="W85" i="12" s="1"/>
  <c r="R85" i="12"/>
  <c r="S85" i="12" s="1"/>
  <c r="T85" i="12" s="1"/>
  <c r="O85" i="12"/>
  <c r="P85" i="12" s="1"/>
  <c r="Q85" i="12" s="1"/>
  <c r="L85" i="12"/>
  <c r="M85" i="12" s="1"/>
  <c r="N85" i="12" s="1"/>
  <c r="I85" i="12"/>
  <c r="F85" i="12"/>
  <c r="AW85" i="12" s="1"/>
  <c r="AY85" i="12" s="1"/>
  <c r="C85" i="12"/>
  <c r="D85" i="12" s="1"/>
  <c r="E85" i="12" s="1"/>
  <c r="AP84" i="12"/>
  <c r="AJ84" i="12"/>
  <c r="AG84" i="12"/>
  <c r="AH84" i="12" s="1"/>
  <c r="AI84" i="12" s="1"/>
  <c r="AD84" i="12"/>
  <c r="AE84" i="12" s="1"/>
  <c r="AF84" i="12" s="1"/>
  <c r="AA84" i="12"/>
  <c r="AB84" i="12" s="1"/>
  <c r="AC84" i="12" s="1"/>
  <c r="X84" i="12"/>
  <c r="Y84" i="12" s="1"/>
  <c r="Z84" i="12" s="1"/>
  <c r="U84" i="12"/>
  <c r="V84" i="12" s="1"/>
  <c r="W84" i="12" s="1"/>
  <c r="R84" i="12"/>
  <c r="S84" i="12" s="1"/>
  <c r="T84" i="12" s="1"/>
  <c r="O84" i="12"/>
  <c r="P84" i="12" s="1"/>
  <c r="Q84" i="12" s="1"/>
  <c r="L84" i="12"/>
  <c r="M84" i="12" s="1"/>
  <c r="N84" i="12" s="1"/>
  <c r="I84" i="12"/>
  <c r="F84" i="12"/>
  <c r="C84" i="12"/>
  <c r="D84" i="12" s="1"/>
  <c r="E84" i="12" s="1"/>
  <c r="AP83" i="12"/>
  <c r="AK83" i="12"/>
  <c r="AL83" i="12" s="1"/>
  <c r="AH83" i="12"/>
  <c r="AI83" i="12" s="1"/>
  <c r="AE83" i="12"/>
  <c r="AF83" i="12" s="1"/>
  <c r="AA83" i="12"/>
  <c r="X83" i="12"/>
  <c r="Y83" i="12" s="1"/>
  <c r="Z83" i="12" s="1"/>
  <c r="V83" i="12"/>
  <c r="W83" i="12" s="1"/>
  <c r="S83" i="12"/>
  <c r="T83" i="12" s="1"/>
  <c r="P83" i="12"/>
  <c r="Q83" i="12" s="1"/>
  <c r="M83" i="12"/>
  <c r="N83" i="12" s="1"/>
  <c r="J83" i="12"/>
  <c r="K83" i="12" s="1"/>
  <c r="G83" i="12"/>
  <c r="H83" i="12" s="1"/>
  <c r="D83" i="12"/>
  <c r="E83" i="12" s="1"/>
  <c r="AJ82" i="12"/>
  <c r="AG82" i="12"/>
  <c r="AD82" i="12"/>
  <c r="AA82" i="12"/>
  <c r="X82" i="12"/>
  <c r="U82" i="12"/>
  <c r="R82" i="12"/>
  <c r="AP81" i="12"/>
  <c r="AK81" i="12"/>
  <c r="AL81" i="12" s="1"/>
  <c r="AH81" i="12"/>
  <c r="AI81" i="12" s="1"/>
  <c r="AE81" i="12"/>
  <c r="AF81" i="12" s="1"/>
  <c r="AA81" i="12"/>
  <c r="X81" i="12"/>
  <c r="Y81" i="12" s="1"/>
  <c r="Z81" i="12" s="1"/>
  <c r="U81" i="12"/>
  <c r="V81" i="12" s="1"/>
  <c r="W81" i="12" s="1"/>
  <c r="R81" i="12"/>
  <c r="S81" i="12" s="1"/>
  <c r="T81" i="12" s="1"/>
  <c r="P81" i="12"/>
  <c r="Q81" i="12" s="1"/>
  <c r="M81" i="12"/>
  <c r="N81" i="12" s="1"/>
  <c r="K81" i="12"/>
  <c r="J81" i="12"/>
  <c r="G81" i="12"/>
  <c r="H81" i="12" s="1"/>
  <c r="E81" i="12"/>
  <c r="D81" i="12"/>
  <c r="AP80" i="12"/>
  <c r="AK80" i="12"/>
  <c r="AL80" i="12" s="1"/>
  <c r="AH80" i="12"/>
  <c r="AI80" i="12" s="1"/>
  <c r="AE80" i="12"/>
  <c r="AF80" i="12" s="1"/>
  <c r="AA80" i="12"/>
  <c r="AB80" i="12" s="1"/>
  <c r="AC80" i="12" s="1"/>
  <c r="X80" i="12"/>
  <c r="Y80" i="12" s="1"/>
  <c r="Z80" i="12" s="1"/>
  <c r="U80" i="12"/>
  <c r="V80" i="12" s="1"/>
  <c r="W80" i="12" s="1"/>
  <c r="R80" i="12"/>
  <c r="P80" i="12"/>
  <c r="Q80" i="12" s="1"/>
  <c r="M80" i="12"/>
  <c r="N80" i="12" s="1"/>
  <c r="J80" i="12"/>
  <c r="K80" i="12" s="1"/>
  <c r="G80" i="12"/>
  <c r="H80" i="12" s="1"/>
  <c r="D80" i="12"/>
  <c r="E80" i="12" s="1"/>
  <c r="AP79" i="12"/>
  <c r="AJ79" i="12"/>
  <c r="AG79" i="12"/>
  <c r="AH79" i="12" s="1"/>
  <c r="AI79" i="12" s="1"/>
  <c r="AD79" i="12"/>
  <c r="AE79" i="12" s="1"/>
  <c r="AF79" i="12" s="1"/>
  <c r="AA79" i="12"/>
  <c r="AB79" i="12" s="1"/>
  <c r="AC79" i="12" s="1"/>
  <c r="X79" i="12"/>
  <c r="Y79" i="12" s="1"/>
  <c r="Z79" i="12" s="1"/>
  <c r="U79" i="12"/>
  <c r="V79" i="12" s="1"/>
  <c r="W79" i="12" s="1"/>
  <c r="R79" i="12"/>
  <c r="S79" i="12" s="1"/>
  <c r="T79" i="12" s="1"/>
  <c r="O79" i="12"/>
  <c r="P79" i="12" s="1"/>
  <c r="Q79" i="12" s="1"/>
  <c r="L79" i="12"/>
  <c r="M79" i="12" s="1"/>
  <c r="N79" i="12" s="1"/>
  <c r="I79" i="12"/>
  <c r="F79" i="12"/>
  <c r="C79" i="12"/>
  <c r="D79" i="12" s="1"/>
  <c r="E79" i="12" s="1"/>
  <c r="AJ78" i="12"/>
  <c r="AG78" i="12"/>
  <c r="AD78" i="12"/>
  <c r="AA78" i="12"/>
  <c r="X78" i="12"/>
  <c r="U78" i="12"/>
  <c r="R78" i="12"/>
  <c r="O78" i="12"/>
  <c r="L78" i="12"/>
  <c r="I78" i="12"/>
  <c r="BA78" i="12" s="1"/>
  <c r="BC78" i="12" s="1"/>
  <c r="F78" i="12"/>
  <c r="AW78" i="12" s="1"/>
  <c r="AY78" i="12" s="1"/>
  <c r="C78" i="12"/>
  <c r="AP77" i="12"/>
  <c r="AJ77" i="12"/>
  <c r="AG77" i="12"/>
  <c r="AH77" i="12" s="1"/>
  <c r="AI77" i="12" s="1"/>
  <c r="AD77" i="12"/>
  <c r="AE77" i="12" s="1"/>
  <c r="AF77" i="12" s="1"/>
  <c r="AA77" i="12"/>
  <c r="AB77" i="12" s="1"/>
  <c r="AC77" i="12" s="1"/>
  <c r="X77" i="12"/>
  <c r="Y77" i="12" s="1"/>
  <c r="Z77" i="12" s="1"/>
  <c r="U77" i="12"/>
  <c r="V77" i="12" s="1"/>
  <c r="W77" i="12" s="1"/>
  <c r="R77" i="12"/>
  <c r="S77" i="12" s="1"/>
  <c r="T77" i="12" s="1"/>
  <c r="O77" i="12"/>
  <c r="P77" i="12" s="1"/>
  <c r="Q77" i="12" s="1"/>
  <c r="L77" i="12"/>
  <c r="M77" i="12" s="1"/>
  <c r="N77" i="12" s="1"/>
  <c r="I77" i="12"/>
  <c r="F77" i="12"/>
  <c r="C77" i="12"/>
  <c r="D77" i="12" s="1"/>
  <c r="E77" i="12" s="1"/>
  <c r="AP76" i="12"/>
  <c r="AJ76" i="12"/>
  <c r="AK76" i="12" s="1"/>
  <c r="AL76" i="12" s="1"/>
  <c r="AG76" i="12"/>
  <c r="AH76" i="12" s="1"/>
  <c r="AI76" i="12" s="1"/>
  <c r="AD76" i="12"/>
  <c r="AE76" i="12" s="1"/>
  <c r="AF76" i="12" s="1"/>
  <c r="AA76" i="12"/>
  <c r="AB76" i="12" s="1"/>
  <c r="AC76" i="12" s="1"/>
  <c r="X76" i="12"/>
  <c r="Y76" i="12" s="1"/>
  <c r="Z76" i="12" s="1"/>
  <c r="U76" i="12"/>
  <c r="V76" i="12" s="1"/>
  <c r="W76" i="12" s="1"/>
  <c r="R76" i="12"/>
  <c r="S76" i="12" s="1"/>
  <c r="T76" i="12" s="1"/>
  <c r="O76" i="12"/>
  <c r="P76" i="12" s="1"/>
  <c r="Q76" i="12" s="1"/>
  <c r="L76" i="12"/>
  <c r="M76" i="12" s="1"/>
  <c r="N76" i="12" s="1"/>
  <c r="I76" i="12"/>
  <c r="F76" i="12"/>
  <c r="C76" i="12"/>
  <c r="D76" i="12" s="1"/>
  <c r="E76" i="12" s="1"/>
  <c r="AP75" i="12"/>
  <c r="AJ75" i="12"/>
  <c r="AK75" i="12" s="1"/>
  <c r="AL75" i="12" s="1"/>
  <c r="AG75" i="12"/>
  <c r="AH75" i="12" s="1"/>
  <c r="AI75" i="12" s="1"/>
  <c r="AD75" i="12"/>
  <c r="AE75" i="12" s="1"/>
  <c r="AF75" i="12" s="1"/>
  <c r="AA75" i="12"/>
  <c r="X75" i="12"/>
  <c r="Y75" i="12" s="1"/>
  <c r="Z75" i="12" s="1"/>
  <c r="U75" i="12"/>
  <c r="V75" i="12" s="1"/>
  <c r="W75" i="12" s="1"/>
  <c r="R75" i="12"/>
  <c r="S75" i="12" s="1"/>
  <c r="T75" i="12" s="1"/>
  <c r="O75" i="12"/>
  <c r="P75" i="12" s="1"/>
  <c r="Q75" i="12" s="1"/>
  <c r="L75" i="12"/>
  <c r="M75" i="12" s="1"/>
  <c r="N75" i="12" s="1"/>
  <c r="I75" i="12"/>
  <c r="F75" i="12"/>
  <c r="C75" i="12"/>
  <c r="D75" i="12" s="1"/>
  <c r="E75" i="12" s="1"/>
  <c r="AP74" i="12"/>
  <c r="AJ74" i="12"/>
  <c r="AG74" i="12"/>
  <c r="AH74" i="12" s="1"/>
  <c r="AI74" i="12" s="1"/>
  <c r="AD74" i="12"/>
  <c r="AE74" i="12" s="1"/>
  <c r="AF74" i="12" s="1"/>
  <c r="AA74" i="12"/>
  <c r="AB74" i="12" s="1"/>
  <c r="AC74" i="12" s="1"/>
  <c r="Y74" i="12"/>
  <c r="Z74" i="12" s="1"/>
  <c r="X74" i="12"/>
  <c r="U74" i="12"/>
  <c r="V74" i="12" s="1"/>
  <c r="W74" i="12" s="1"/>
  <c r="R74" i="12"/>
  <c r="S74" i="12" s="1"/>
  <c r="T74" i="12" s="1"/>
  <c r="O74" i="12"/>
  <c r="P74" i="12" s="1"/>
  <c r="Q74" i="12" s="1"/>
  <c r="L74" i="12"/>
  <c r="M74" i="12" s="1"/>
  <c r="N74" i="12" s="1"/>
  <c r="I74" i="12"/>
  <c r="F74" i="12"/>
  <c r="C74" i="12"/>
  <c r="D74" i="12" s="1"/>
  <c r="E74" i="12" s="1"/>
  <c r="AP73" i="12"/>
  <c r="AJ73" i="12"/>
  <c r="AK73" i="12" s="1"/>
  <c r="AL73" i="12" s="1"/>
  <c r="AG73" i="12"/>
  <c r="AH73" i="12" s="1"/>
  <c r="AI73" i="12" s="1"/>
  <c r="AD73" i="12"/>
  <c r="AE73" i="12" s="1"/>
  <c r="AF73" i="12" s="1"/>
  <c r="AA73" i="12"/>
  <c r="AB73" i="12" s="1"/>
  <c r="AC73" i="12" s="1"/>
  <c r="X73" i="12"/>
  <c r="Y73" i="12" s="1"/>
  <c r="Z73" i="12" s="1"/>
  <c r="U73" i="12"/>
  <c r="R73" i="12"/>
  <c r="S73" i="12" s="1"/>
  <c r="T73" i="12" s="1"/>
  <c r="O73" i="12"/>
  <c r="P73" i="12" s="1"/>
  <c r="Q73" i="12" s="1"/>
  <c r="L73" i="12"/>
  <c r="M73" i="12" s="1"/>
  <c r="N73" i="12" s="1"/>
  <c r="I73" i="12"/>
  <c r="F73" i="12"/>
  <c r="C73" i="12"/>
  <c r="D73" i="12" s="1"/>
  <c r="E73" i="12" s="1"/>
  <c r="AP72" i="12"/>
  <c r="AJ72" i="12"/>
  <c r="AG72" i="12"/>
  <c r="AH72" i="12" s="1"/>
  <c r="AI72" i="12" s="1"/>
  <c r="AD72" i="12"/>
  <c r="AE72" i="12" s="1"/>
  <c r="AF72" i="12" s="1"/>
  <c r="AA72" i="12"/>
  <c r="AB72" i="12" s="1"/>
  <c r="AC72" i="12" s="1"/>
  <c r="X72" i="12"/>
  <c r="Y72" i="12" s="1"/>
  <c r="Z72" i="12" s="1"/>
  <c r="U72" i="12"/>
  <c r="V72" i="12" s="1"/>
  <c r="W72" i="12" s="1"/>
  <c r="R72" i="12"/>
  <c r="S72" i="12" s="1"/>
  <c r="T72" i="12" s="1"/>
  <c r="O72" i="12"/>
  <c r="P72" i="12" s="1"/>
  <c r="Q72" i="12" s="1"/>
  <c r="L72" i="12"/>
  <c r="M72" i="12" s="1"/>
  <c r="N72" i="12" s="1"/>
  <c r="I72" i="12"/>
  <c r="F72" i="12"/>
  <c r="C72" i="12"/>
  <c r="D72" i="12" s="1"/>
  <c r="E72" i="12" s="1"/>
  <c r="AP71" i="12"/>
  <c r="AJ71" i="12"/>
  <c r="AG71" i="12"/>
  <c r="AH71" i="12" s="1"/>
  <c r="AI71" i="12" s="1"/>
  <c r="AD71" i="12"/>
  <c r="AE71" i="12" s="1"/>
  <c r="AF71" i="12" s="1"/>
  <c r="AA71" i="12"/>
  <c r="AB71" i="12" s="1"/>
  <c r="AC71" i="12" s="1"/>
  <c r="X71" i="12"/>
  <c r="Y71" i="12" s="1"/>
  <c r="Z71" i="12" s="1"/>
  <c r="U71" i="12"/>
  <c r="V71" i="12" s="1"/>
  <c r="W71" i="12" s="1"/>
  <c r="R71" i="12"/>
  <c r="S71" i="12" s="1"/>
  <c r="T71" i="12" s="1"/>
  <c r="O71" i="12"/>
  <c r="P71" i="12" s="1"/>
  <c r="Q71" i="12" s="1"/>
  <c r="L71" i="12"/>
  <c r="M71" i="12" s="1"/>
  <c r="N71" i="12" s="1"/>
  <c r="I71" i="12"/>
  <c r="F71" i="12"/>
  <c r="C71" i="12"/>
  <c r="D71" i="12" s="1"/>
  <c r="E71" i="12" s="1"/>
  <c r="AP70" i="12"/>
  <c r="AJ70" i="12"/>
  <c r="AG70" i="12"/>
  <c r="AH70" i="12" s="1"/>
  <c r="AI70" i="12" s="1"/>
  <c r="AD70" i="12"/>
  <c r="AE70" i="12" s="1"/>
  <c r="AF70" i="12" s="1"/>
  <c r="AA70" i="12"/>
  <c r="AB70" i="12" s="1"/>
  <c r="AC70" i="12" s="1"/>
  <c r="X70" i="12"/>
  <c r="Y70" i="12" s="1"/>
  <c r="Z70" i="12" s="1"/>
  <c r="U70" i="12"/>
  <c r="V70" i="12" s="1"/>
  <c r="W70" i="12" s="1"/>
  <c r="R70" i="12"/>
  <c r="S70" i="12" s="1"/>
  <c r="T70" i="12" s="1"/>
  <c r="O70" i="12"/>
  <c r="P70" i="12" s="1"/>
  <c r="Q70" i="12" s="1"/>
  <c r="L70" i="12"/>
  <c r="M70" i="12" s="1"/>
  <c r="N70" i="12" s="1"/>
  <c r="I70" i="12"/>
  <c r="F70" i="12"/>
  <c r="C70" i="12"/>
  <c r="D70" i="12" s="1"/>
  <c r="E70" i="12" s="1"/>
  <c r="AJ69" i="12"/>
  <c r="AG69" i="12"/>
  <c r="AD69" i="12"/>
  <c r="AA69" i="12"/>
  <c r="X69" i="12"/>
  <c r="U69" i="12"/>
  <c r="R69" i="12"/>
  <c r="O69" i="12"/>
  <c r="L69" i="12"/>
  <c r="I69" i="12"/>
  <c r="BA69" i="12" s="1"/>
  <c r="BC69" i="12" s="1"/>
  <c r="F69" i="12"/>
  <c r="AW69" i="12" s="1"/>
  <c r="AY69" i="12" s="1"/>
  <c r="C69" i="12"/>
  <c r="AP68" i="12"/>
  <c r="AJ68" i="12"/>
  <c r="AK68" i="12" s="1"/>
  <c r="AL68" i="12" s="1"/>
  <c r="AG68" i="12"/>
  <c r="AH68" i="12" s="1"/>
  <c r="AI68" i="12" s="1"/>
  <c r="AD68" i="12"/>
  <c r="AE68" i="12" s="1"/>
  <c r="AF68" i="12" s="1"/>
  <c r="AA68" i="12"/>
  <c r="AB68" i="12" s="1"/>
  <c r="AC68" i="12" s="1"/>
  <c r="X68" i="12"/>
  <c r="Y68" i="12" s="1"/>
  <c r="Z68" i="12" s="1"/>
  <c r="U68" i="12"/>
  <c r="R68" i="12"/>
  <c r="S68" i="12" s="1"/>
  <c r="T68" i="12" s="1"/>
  <c r="O68" i="12"/>
  <c r="P68" i="12" s="1"/>
  <c r="Q68" i="12" s="1"/>
  <c r="L68" i="12"/>
  <c r="M68" i="12" s="1"/>
  <c r="N68" i="12" s="1"/>
  <c r="I68" i="12"/>
  <c r="BA68" i="12" s="1"/>
  <c r="BC68" i="12" s="1"/>
  <c r="F68" i="12"/>
  <c r="AW68" i="12" s="1"/>
  <c r="AY68" i="12" s="1"/>
  <c r="C68" i="12"/>
  <c r="D68" i="12" s="1"/>
  <c r="E68" i="12" s="1"/>
  <c r="AP67" i="12"/>
  <c r="AJ67" i="12"/>
  <c r="AG67" i="12"/>
  <c r="AH67" i="12" s="1"/>
  <c r="AI67" i="12" s="1"/>
  <c r="AD67" i="12"/>
  <c r="AE67" i="12" s="1"/>
  <c r="AF67" i="12" s="1"/>
  <c r="AA67" i="12"/>
  <c r="AB67" i="12" s="1"/>
  <c r="AC67" i="12" s="1"/>
  <c r="X67" i="12"/>
  <c r="Y67" i="12" s="1"/>
  <c r="Z67" i="12" s="1"/>
  <c r="U67" i="12"/>
  <c r="V67" i="12" s="1"/>
  <c r="W67" i="12" s="1"/>
  <c r="R67" i="12"/>
  <c r="S67" i="12" s="1"/>
  <c r="T67" i="12" s="1"/>
  <c r="O67" i="12"/>
  <c r="P67" i="12" s="1"/>
  <c r="Q67" i="12" s="1"/>
  <c r="L67" i="12"/>
  <c r="M67" i="12" s="1"/>
  <c r="N67" i="12" s="1"/>
  <c r="I67" i="12"/>
  <c r="F67" i="12"/>
  <c r="C67" i="12"/>
  <c r="D67" i="12" s="1"/>
  <c r="E67" i="12" s="1"/>
  <c r="AP66" i="12"/>
  <c r="AJ66" i="12"/>
  <c r="AK66" i="12" s="1"/>
  <c r="AL66" i="12" s="1"/>
  <c r="AG66" i="12"/>
  <c r="AH66" i="12" s="1"/>
  <c r="AI66" i="12" s="1"/>
  <c r="AD66" i="12"/>
  <c r="AE66" i="12" s="1"/>
  <c r="AF66" i="12" s="1"/>
  <c r="AA66" i="12"/>
  <c r="AB66" i="12" s="1"/>
  <c r="AC66" i="12" s="1"/>
  <c r="X66" i="12"/>
  <c r="Y66" i="12" s="1"/>
  <c r="Z66" i="12" s="1"/>
  <c r="U66" i="12"/>
  <c r="V66" i="12" s="1"/>
  <c r="W66" i="12" s="1"/>
  <c r="R66" i="12"/>
  <c r="S66" i="12" s="1"/>
  <c r="T66" i="12" s="1"/>
  <c r="O66" i="12"/>
  <c r="P66" i="12" s="1"/>
  <c r="Q66" i="12" s="1"/>
  <c r="L66" i="12"/>
  <c r="M66" i="12" s="1"/>
  <c r="N66" i="12" s="1"/>
  <c r="I66" i="12"/>
  <c r="F66" i="12"/>
  <c r="AW66" i="12" s="1"/>
  <c r="AY66" i="12" s="1"/>
  <c r="C66" i="12"/>
  <c r="D66" i="12" s="1"/>
  <c r="E66" i="12" s="1"/>
  <c r="AP65" i="12"/>
  <c r="AJ65" i="12"/>
  <c r="AK65" i="12" s="1"/>
  <c r="AL65" i="12" s="1"/>
  <c r="AG65" i="12"/>
  <c r="AD65" i="12"/>
  <c r="AE65" i="12" s="1"/>
  <c r="AF65" i="12" s="1"/>
  <c r="AA65" i="12"/>
  <c r="AB65" i="12" s="1"/>
  <c r="AC65" i="12" s="1"/>
  <c r="X65" i="12"/>
  <c r="Y65" i="12" s="1"/>
  <c r="Z65" i="12" s="1"/>
  <c r="U65" i="12"/>
  <c r="V65" i="12" s="1"/>
  <c r="W65" i="12" s="1"/>
  <c r="R65" i="12"/>
  <c r="S65" i="12" s="1"/>
  <c r="T65" i="12" s="1"/>
  <c r="O65" i="12"/>
  <c r="P65" i="12" s="1"/>
  <c r="Q65" i="12" s="1"/>
  <c r="L65" i="12"/>
  <c r="M65" i="12" s="1"/>
  <c r="N65" i="12" s="1"/>
  <c r="I65" i="12"/>
  <c r="F65" i="12"/>
  <c r="C65" i="12"/>
  <c r="D65" i="12" s="1"/>
  <c r="E65" i="12" s="1"/>
  <c r="AP64" i="12"/>
  <c r="AJ64" i="12"/>
  <c r="AK64" i="12" s="1"/>
  <c r="AL64" i="12" s="1"/>
  <c r="AG64" i="12"/>
  <c r="AD64" i="12"/>
  <c r="AE64" i="12" s="1"/>
  <c r="AF64" i="12" s="1"/>
  <c r="AA64" i="12"/>
  <c r="AB64" i="12" s="1"/>
  <c r="AC64" i="12" s="1"/>
  <c r="X64" i="12"/>
  <c r="Y64" i="12" s="1"/>
  <c r="Z64" i="12" s="1"/>
  <c r="U64" i="12"/>
  <c r="V64" i="12" s="1"/>
  <c r="W64" i="12" s="1"/>
  <c r="R64" i="12"/>
  <c r="S64" i="12" s="1"/>
  <c r="T64" i="12" s="1"/>
  <c r="O64" i="12"/>
  <c r="P64" i="12" s="1"/>
  <c r="Q64" i="12" s="1"/>
  <c r="L64" i="12"/>
  <c r="M64" i="12" s="1"/>
  <c r="N64" i="12" s="1"/>
  <c r="I64" i="12"/>
  <c r="F64" i="12"/>
  <c r="C64" i="12"/>
  <c r="D64" i="12" s="1"/>
  <c r="E64" i="12" s="1"/>
  <c r="AP63" i="12"/>
  <c r="AJ63" i="12"/>
  <c r="AK63" i="12" s="1"/>
  <c r="AL63" i="12" s="1"/>
  <c r="AG63" i="12"/>
  <c r="AH63" i="12" s="1"/>
  <c r="AI63" i="12" s="1"/>
  <c r="AD63" i="12"/>
  <c r="AE63" i="12" s="1"/>
  <c r="AF63" i="12" s="1"/>
  <c r="AA63" i="12"/>
  <c r="AB63" i="12" s="1"/>
  <c r="AC63" i="12" s="1"/>
  <c r="X63" i="12"/>
  <c r="Y63" i="12" s="1"/>
  <c r="Z63" i="12" s="1"/>
  <c r="U63" i="12"/>
  <c r="V63" i="12" s="1"/>
  <c r="W63" i="12" s="1"/>
  <c r="R63" i="12"/>
  <c r="O63" i="12"/>
  <c r="P63" i="12" s="1"/>
  <c r="Q63" i="12" s="1"/>
  <c r="L63" i="12"/>
  <c r="M63" i="12" s="1"/>
  <c r="N63" i="12" s="1"/>
  <c r="I63" i="12"/>
  <c r="F63" i="12"/>
  <c r="D63" i="12"/>
  <c r="E63" i="12" s="1"/>
  <c r="C63" i="12"/>
  <c r="AP62" i="12"/>
  <c r="AJ62" i="12"/>
  <c r="AG62" i="12"/>
  <c r="AH62" i="12" s="1"/>
  <c r="AI62" i="12" s="1"/>
  <c r="AD62" i="12"/>
  <c r="AE62" i="12" s="1"/>
  <c r="AF62" i="12" s="1"/>
  <c r="AA62" i="12"/>
  <c r="AB62" i="12" s="1"/>
  <c r="AC62" i="12" s="1"/>
  <c r="X62" i="12"/>
  <c r="Y62" i="12" s="1"/>
  <c r="Z62" i="12" s="1"/>
  <c r="U62" i="12"/>
  <c r="V62" i="12" s="1"/>
  <c r="W62" i="12" s="1"/>
  <c r="R62" i="12"/>
  <c r="S62" i="12" s="1"/>
  <c r="T62" i="12" s="1"/>
  <c r="O62" i="12"/>
  <c r="P62" i="12" s="1"/>
  <c r="Q62" i="12" s="1"/>
  <c r="L62" i="12"/>
  <c r="M62" i="12" s="1"/>
  <c r="N62" i="12" s="1"/>
  <c r="I62" i="12"/>
  <c r="F62" i="12"/>
  <c r="AW62" i="12" s="1"/>
  <c r="AY62" i="12" s="1"/>
  <c r="C62" i="12"/>
  <c r="D62" i="12" s="1"/>
  <c r="E62" i="12" s="1"/>
  <c r="AP61" i="12"/>
  <c r="AJ61" i="12"/>
  <c r="AG61" i="12"/>
  <c r="AH61" i="12" s="1"/>
  <c r="AI61" i="12" s="1"/>
  <c r="AD61" i="12"/>
  <c r="AE61" i="12" s="1"/>
  <c r="AF61" i="12" s="1"/>
  <c r="AA61" i="12"/>
  <c r="AB61" i="12" s="1"/>
  <c r="AC61" i="12" s="1"/>
  <c r="X61" i="12"/>
  <c r="Y61" i="12" s="1"/>
  <c r="Z61" i="12" s="1"/>
  <c r="U61" i="12"/>
  <c r="V61" i="12" s="1"/>
  <c r="W61" i="12" s="1"/>
  <c r="R61" i="12"/>
  <c r="S61" i="12" s="1"/>
  <c r="T61" i="12" s="1"/>
  <c r="O61" i="12"/>
  <c r="P61" i="12" s="1"/>
  <c r="Q61" i="12" s="1"/>
  <c r="L61" i="12"/>
  <c r="M61" i="12" s="1"/>
  <c r="N61" i="12" s="1"/>
  <c r="I61" i="12"/>
  <c r="F61" i="12"/>
  <c r="C61" i="12"/>
  <c r="D61" i="12" s="1"/>
  <c r="E61" i="12" s="1"/>
  <c r="AP60" i="12"/>
  <c r="AJ60" i="12"/>
  <c r="AK60" i="12" s="1"/>
  <c r="AL60" i="12" s="1"/>
  <c r="AG60" i="12"/>
  <c r="AH60" i="12" s="1"/>
  <c r="AI60" i="12" s="1"/>
  <c r="AD60" i="12"/>
  <c r="AE60" i="12" s="1"/>
  <c r="AF60" i="12" s="1"/>
  <c r="AA60" i="12"/>
  <c r="AB60" i="12" s="1"/>
  <c r="AC60" i="12" s="1"/>
  <c r="X60" i="12"/>
  <c r="Y60" i="12" s="1"/>
  <c r="Z60" i="12" s="1"/>
  <c r="U60" i="12"/>
  <c r="V60" i="12" s="1"/>
  <c r="W60" i="12" s="1"/>
  <c r="R60" i="12"/>
  <c r="S60" i="12" s="1"/>
  <c r="T60" i="12" s="1"/>
  <c r="O60" i="12"/>
  <c r="P60" i="12" s="1"/>
  <c r="Q60" i="12" s="1"/>
  <c r="L60" i="12"/>
  <c r="M60" i="12" s="1"/>
  <c r="N60" i="12" s="1"/>
  <c r="I60" i="12"/>
  <c r="F60" i="12"/>
  <c r="C60" i="12"/>
  <c r="D60" i="12" s="1"/>
  <c r="E60" i="12" s="1"/>
  <c r="AP59" i="12"/>
  <c r="AJ59" i="12"/>
  <c r="AG59" i="12"/>
  <c r="AH59" i="12" s="1"/>
  <c r="AI59" i="12" s="1"/>
  <c r="AD59" i="12"/>
  <c r="AE59" i="12" s="1"/>
  <c r="AF59" i="12" s="1"/>
  <c r="AA59" i="12"/>
  <c r="AB59" i="12" s="1"/>
  <c r="AC59" i="12" s="1"/>
  <c r="X59" i="12"/>
  <c r="Y59" i="12" s="1"/>
  <c r="Z59" i="12" s="1"/>
  <c r="U59" i="12"/>
  <c r="V59" i="12" s="1"/>
  <c r="W59" i="12" s="1"/>
  <c r="R59" i="12"/>
  <c r="S59" i="12" s="1"/>
  <c r="T59" i="12" s="1"/>
  <c r="O59" i="12"/>
  <c r="P59" i="12" s="1"/>
  <c r="Q59" i="12" s="1"/>
  <c r="L59" i="12"/>
  <c r="M59" i="12" s="1"/>
  <c r="N59" i="12" s="1"/>
  <c r="I59" i="12"/>
  <c r="F59" i="12"/>
  <c r="C59" i="12"/>
  <c r="D59" i="12" s="1"/>
  <c r="E59" i="12" s="1"/>
  <c r="AP58" i="12"/>
  <c r="AK58" i="12"/>
  <c r="AL58" i="12" s="1"/>
  <c r="AH58" i="12"/>
  <c r="AI58" i="12" s="1"/>
  <c r="AE58" i="12"/>
  <c r="AF58" i="12" s="1"/>
  <c r="AB58" i="12"/>
  <c r="AC58" i="12" s="1"/>
  <c r="Y58" i="12"/>
  <c r="Z58" i="12" s="1"/>
  <c r="U58" i="12"/>
  <c r="V58" i="12" s="1"/>
  <c r="W58" i="12" s="1"/>
  <c r="R58" i="12"/>
  <c r="S58" i="12" s="1"/>
  <c r="T58" i="12" s="1"/>
  <c r="O58" i="12"/>
  <c r="P58" i="12" s="1"/>
  <c r="Q58" i="12" s="1"/>
  <c r="L58" i="12"/>
  <c r="M58" i="12" s="1"/>
  <c r="N58" i="12" s="1"/>
  <c r="I58" i="12"/>
  <c r="F58" i="12"/>
  <c r="C58" i="12"/>
  <c r="D58" i="12" s="1"/>
  <c r="E58" i="12" s="1"/>
  <c r="AP57" i="12"/>
  <c r="AJ57" i="12"/>
  <c r="AG57" i="12"/>
  <c r="AH57" i="12" s="1"/>
  <c r="AI57" i="12" s="1"/>
  <c r="AD57" i="12"/>
  <c r="AE57" i="12" s="1"/>
  <c r="AF57" i="12" s="1"/>
  <c r="AA57" i="12"/>
  <c r="AB57" i="12" s="1"/>
  <c r="AC57" i="12" s="1"/>
  <c r="X57" i="12"/>
  <c r="Y57" i="12" s="1"/>
  <c r="Z57" i="12" s="1"/>
  <c r="U57" i="12"/>
  <c r="V57" i="12" s="1"/>
  <c r="W57" i="12" s="1"/>
  <c r="R57" i="12"/>
  <c r="S57" i="12" s="1"/>
  <c r="T57" i="12" s="1"/>
  <c r="O57" i="12"/>
  <c r="P57" i="12" s="1"/>
  <c r="Q57" i="12" s="1"/>
  <c r="L57" i="12"/>
  <c r="M57" i="12" s="1"/>
  <c r="N57" i="12" s="1"/>
  <c r="I57" i="12"/>
  <c r="F57" i="12"/>
  <c r="C57" i="12"/>
  <c r="D57" i="12" s="1"/>
  <c r="E57" i="12" s="1"/>
  <c r="AP56" i="12"/>
  <c r="AJ56" i="12"/>
  <c r="AG56" i="12"/>
  <c r="AH56" i="12" s="1"/>
  <c r="AI56" i="12" s="1"/>
  <c r="AD56" i="12"/>
  <c r="AE56" i="12" s="1"/>
  <c r="AF56" i="12" s="1"/>
  <c r="AB56" i="12"/>
  <c r="AC56" i="12" s="1"/>
  <c r="Y56" i="12"/>
  <c r="Z56" i="12" s="1"/>
  <c r="V56" i="12"/>
  <c r="W56" i="12" s="1"/>
  <c r="S56" i="12"/>
  <c r="T56" i="12" s="1"/>
  <c r="P56" i="12"/>
  <c r="Q56" i="12" s="1"/>
  <c r="M56" i="12"/>
  <c r="N56" i="12" s="1"/>
  <c r="J56" i="12"/>
  <c r="K56" i="12" s="1"/>
  <c r="G56" i="12"/>
  <c r="H56" i="12" s="1"/>
  <c r="D56" i="12"/>
  <c r="E56" i="12" s="1"/>
  <c r="AP55" i="12"/>
  <c r="AJ55" i="12"/>
  <c r="AG55" i="12"/>
  <c r="AH55" i="12" s="1"/>
  <c r="AI55" i="12" s="1"/>
  <c r="AD55" i="12"/>
  <c r="AE55" i="12" s="1"/>
  <c r="AF55" i="12" s="1"/>
  <c r="AA55" i="12"/>
  <c r="AB55" i="12" s="1"/>
  <c r="AC55" i="12" s="1"/>
  <c r="X55" i="12"/>
  <c r="Y55" i="12" s="1"/>
  <c r="Z55" i="12" s="1"/>
  <c r="U55" i="12"/>
  <c r="V55" i="12" s="1"/>
  <c r="W55" i="12" s="1"/>
  <c r="R55" i="12"/>
  <c r="S55" i="12" s="1"/>
  <c r="T55" i="12" s="1"/>
  <c r="O55" i="12"/>
  <c r="P55" i="12" s="1"/>
  <c r="Q55" i="12" s="1"/>
  <c r="L55" i="12"/>
  <c r="M55" i="12" s="1"/>
  <c r="N55" i="12" s="1"/>
  <c r="I55" i="12"/>
  <c r="F55" i="12"/>
  <c r="C55" i="12"/>
  <c r="D55" i="12" s="1"/>
  <c r="E55" i="12" s="1"/>
  <c r="AP54" i="12"/>
  <c r="AJ54" i="12"/>
  <c r="AG54" i="12"/>
  <c r="AH54" i="12" s="1"/>
  <c r="AI54" i="12" s="1"/>
  <c r="AD54" i="12"/>
  <c r="AE54" i="12" s="1"/>
  <c r="AF54" i="12" s="1"/>
  <c r="AA54" i="12"/>
  <c r="AB54" i="12" s="1"/>
  <c r="AC54" i="12" s="1"/>
  <c r="X54" i="12"/>
  <c r="Y54" i="12" s="1"/>
  <c r="Z54" i="12" s="1"/>
  <c r="U54" i="12"/>
  <c r="V54" i="12" s="1"/>
  <c r="W54" i="12" s="1"/>
  <c r="R54" i="12"/>
  <c r="S54" i="12" s="1"/>
  <c r="T54" i="12" s="1"/>
  <c r="O54" i="12"/>
  <c r="P54" i="12" s="1"/>
  <c r="Q54" i="12" s="1"/>
  <c r="L54" i="12"/>
  <c r="M54" i="12" s="1"/>
  <c r="N54" i="12" s="1"/>
  <c r="I54" i="12"/>
  <c r="F54" i="12"/>
  <c r="C54" i="12"/>
  <c r="D54" i="12" s="1"/>
  <c r="E54" i="12" s="1"/>
  <c r="AP53" i="12"/>
  <c r="AJ53" i="12"/>
  <c r="AK53" i="12" s="1"/>
  <c r="AL53" i="12" s="1"/>
  <c r="AG53" i="12"/>
  <c r="AH53" i="12" s="1"/>
  <c r="AI53" i="12" s="1"/>
  <c r="AD53" i="12"/>
  <c r="AE53" i="12" s="1"/>
  <c r="AF53" i="12" s="1"/>
  <c r="AA53" i="12"/>
  <c r="AB53" i="12" s="1"/>
  <c r="AC53" i="12" s="1"/>
  <c r="X53" i="12"/>
  <c r="Y53" i="12" s="1"/>
  <c r="Z53" i="12" s="1"/>
  <c r="U53" i="12"/>
  <c r="V53" i="12" s="1"/>
  <c r="W53" i="12" s="1"/>
  <c r="R53" i="12"/>
  <c r="S53" i="12" s="1"/>
  <c r="T53" i="12" s="1"/>
  <c r="O53" i="12"/>
  <c r="P53" i="12" s="1"/>
  <c r="Q53" i="12" s="1"/>
  <c r="L53" i="12"/>
  <c r="M53" i="12" s="1"/>
  <c r="N53" i="12" s="1"/>
  <c r="I53" i="12"/>
  <c r="F53" i="12"/>
  <c r="AW53" i="12" s="1"/>
  <c r="AY53" i="12" s="1"/>
  <c r="C53" i="12"/>
  <c r="D53" i="12" s="1"/>
  <c r="E53" i="12" s="1"/>
  <c r="AP52" i="12"/>
  <c r="AJ52" i="12"/>
  <c r="AK52" i="12" s="1"/>
  <c r="AL52" i="12" s="1"/>
  <c r="AG52" i="12"/>
  <c r="AH52" i="12" s="1"/>
  <c r="AI52" i="12" s="1"/>
  <c r="AD52" i="12"/>
  <c r="AE52" i="12" s="1"/>
  <c r="AF52" i="12" s="1"/>
  <c r="AA52" i="12"/>
  <c r="AB52" i="12" s="1"/>
  <c r="AC52" i="12" s="1"/>
  <c r="X52" i="12"/>
  <c r="Y52" i="12" s="1"/>
  <c r="Z52" i="12" s="1"/>
  <c r="U52" i="12"/>
  <c r="V52" i="12" s="1"/>
  <c r="W52" i="12" s="1"/>
  <c r="R52" i="12"/>
  <c r="S52" i="12" s="1"/>
  <c r="T52" i="12" s="1"/>
  <c r="O52" i="12"/>
  <c r="P52" i="12" s="1"/>
  <c r="Q52" i="12" s="1"/>
  <c r="L52" i="12"/>
  <c r="M52" i="12" s="1"/>
  <c r="N52" i="12" s="1"/>
  <c r="I52" i="12"/>
  <c r="F52" i="12"/>
  <c r="C52" i="12"/>
  <c r="D52" i="12" s="1"/>
  <c r="E52" i="12" s="1"/>
  <c r="AP51" i="12"/>
  <c r="AJ51" i="12"/>
  <c r="AG51" i="12"/>
  <c r="AH51" i="12" s="1"/>
  <c r="AI51" i="12" s="1"/>
  <c r="AD51" i="12"/>
  <c r="AE51" i="12" s="1"/>
  <c r="AF51" i="12" s="1"/>
  <c r="AA51" i="12"/>
  <c r="AB51" i="12" s="1"/>
  <c r="AC51" i="12" s="1"/>
  <c r="X51" i="12"/>
  <c r="Y51" i="12" s="1"/>
  <c r="Z51" i="12" s="1"/>
  <c r="U51" i="12"/>
  <c r="V51" i="12" s="1"/>
  <c r="W51" i="12" s="1"/>
  <c r="R51" i="12"/>
  <c r="S51" i="12" s="1"/>
  <c r="T51" i="12" s="1"/>
  <c r="O51" i="12"/>
  <c r="P51" i="12" s="1"/>
  <c r="Q51" i="12" s="1"/>
  <c r="N51" i="12"/>
  <c r="L51" i="12"/>
  <c r="M51" i="12" s="1"/>
  <c r="I51" i="12"/>
  <c r="F51" i="12"/>
  <c r="AW51" i="12" s="1"/>
  <c r="AY51" i="12" s="1"/>
  <c r="C51" i="12"/>
  <c r="D51" i="12" s="1"/>
  <c r="E51" i="12" s="1"/>
  <c r="AP50" i="12"/>
  <c r="AJ50" i="12"/>
  <c r="AK50" i="12" s="1"/>
  <c r="AL50" i="12" s="1"/>
  <c r="AG50" i="12"/>
  <c r="AH50" i="12" s="1"/>
  <c r="AI50" i="12" s="1"/>
  <c r="AD50" i="12"/>
  <c r="AE50" i="12" s="1"/>
  <c r="AF50" i="12" s="1"/>
  <c r="AA50" i="12"/>
  <c r="AB50" i="12" s="1"/>
  <c r="AC50" i="12" s="1"/>
  <c r="X50" i="12"/>
  <c r="Y50" i="12" s="1"/>
  <c r="Z50" i="12" s="1"/>
  <c r="U50" i="12"/>
  <c r="V50" i="12" s="1"/>
  <c r="W50" i="12" s="1"/>
  <c r="R50" i="12"/>
  <c r="S50" i="12" s="1"/>
  <c r="T50" i="12" s="1"/>
  <c r="O50" i="12"/>
  <c r="P50" i="12" s="1"/>
  <c r="Q50" i="12" s="1"/>
  <c r="L50" i="12"/>
  <c r="M50" i="12" s="1"/>
  <c r="N50" i="12" s="1"/>
  <c r="I50" i="12"/>
  <c r="F50" i="12"/>
  <c r="AW50" i="12" s="1"/>
  <c r="AY50" i="12" s="1"/>
  <c r="C50" i="12"/>
  <c r="D50" i="12" s="1"/>
  <c r="E50" i="12" s="1"/>
  <c r="AP49" i="12"/>
  <c r="AJ49" i="12"/>
  <c r="AG49" i="12"/>
  <c r="AH49" i="12" s="1"/>
  <c r="AI49" i="12" s="1"/>
  <c r="AD49" i="12"/>
  <c r="AE49" i="12" s="1"/>
  <c r="AF49" i="12" s="1"/>
  <c r="AA49" i="12"/>
  <c r="AB49" i="12" s="1"/>
  <c r="AC49" i="12" s="1"/>
  <c r="X49" i="12"/>
  <c r="Y49" i="12" s="1"/>
  <c r="Z49" i="12" s="1"/>
  <c r="U49" i="12"/>
  <c r="V49" i="12" s="1"/>
  <c r="W49" i="12" s="1"/>
  <c r="R49" i="12"/>
  <c r="S49" i="12" s="1"/>
  <c r="T49" i="12" s="1"/>
  <c r="O49" i="12"/>
  <c r="P49" i="12" s="1"/>
  <c r="Q49" i="12" s="1"/>
  <c r="L49" i="12"/>
  <c r="M49" i="12" s="1"/>
  <c r="N49" i="12" s="1"/>
  <c r="I49" i="12"/>
  <c r="F49" i="12"/>
  <c r="C49" i="12"/>
  <c r="D49" i="12" s="1"/>
  <c r="E49" i="12" s="1"/>
  <c r="AP48" i="12"/>
  <c r="AJ48" i="12"/>
  <c r="AG48" i="12"/>
  <c r="AH48" i="12" s="1"/>
  <c r="AI48" i="12" s="1"/>
  <c r="AD48" i="12"/>
  <c r="AE48" i="12" s="1"/>
  <c r="AF48" i="12" s="1"/>
  <c r="AA48" i="12"/>
  <c r="AB48" i="12" s="1"/>
  <c r="AC48" i="12" s="1"/>
  <c r="X48" i="12"/>
  <c r="Y48" i="12" s="1"/>
  <c r="Z48" i="12" s="1"/>
  <c r="U48" i="12"/>
  <c r="V48" i="12" s="1"/>
  <c r="W48" i="12" s="1"/>
  <c r="R48" i="12"/>
  <c r="S48" i="12" s="1"/>
  <c r="T48" i="12" s="1"/>
  <c r="O48" i="12"/>
  <c r="P48" i="12" s="1"/>
  <c r="Q48" i="12" s="1"/>
  <c r="L48" i="12"/>
  <c r="M48" i="12" s="1"/>
  <c r="N48" i="12" s="1"/>
  <c r="I48" i="12"/>
  <c r="F48" i="12"/>
  <c r="C48" i="12"/>
  <c r="D48" i="12" s="1"/>
  <c r="E48" i="12" s="1"/>
  <c r="AP47" i="12"/>
  <c r="AK47" i="12"/>
  <c r="AL47" i="12" s="1"/>
  <c r="AH47" i="12"/>
  <c r="AI47" i="12" s="1"/>
  <c r="AE47" i="12"/>
  <c r="AF47" i="12" s="1"/>
  <c r="AB47" i="12"/>
  <c r="AC47" i="12" s="1"/>
  <c r="Y47" i="12"/>
  <c r="Z47" i="12" s="1"/>
  <c r="U47" i="12"/>
  <c r="V47" i="12" s="1"/>
  <c r="W47" i="12" s="1"/>
  <c r="R47" i="12"/>
  <c r="S47" i="12" s="1"/>
  <c r="T47" i="12" s="1"/>
  <c r="O47" i="12"/>
  <c r="P47" i="12" s="1"/>
  <c r="Q47" i="12" s="1"/>
  <c r="M47" i="12"/>
  <c r="N47" i="12" s="1"/>
  <c r="J47" i="12"/>
  <c r="K47" i="12" s="1"/>
  <c r="G47" i="12"/>
  <c r="H47" i="12" s="1"/>
  <c r="D47" i="12"/>
  <c r="E47" i="12" s="1"/>
  <c r="AP46" i="12"/>
  <c r="AJ46" i="12"/>
  <c r="AG46" i="12"/>
  <c r="AH46" i="12" s="1"/>
  <c r="AI46" i="12" s="1"/>
  <c r="AD46" i="12"/>
  <c r="AE46" i="12" s="1"/>
  <c r="AF46" i="12" s="1"/>
  <c r="AA46" i="12"/>
  <c r="AB46" i="12" s="1"/>
  <c r="AC46" i="12" s="1"/>
  <c r="X46" i="12"/>
  <c r="Y46" i="12" s="1"/>
  <c r="Z46" i="12" s="1"/>
  <c r="U46" i="12"/>
  <c r="V46" i="12" s="1"/>
  <c r="W46" i="12" s="1"/>
  <c r="R46" i="12"/>
  <c r="S46" i="12" s="1"/>
  <c r="T46" i="12" s="1"/>
  <c r="O46" i="12"/>
  <c r="P46" i="12" s="1"/>
  <c r="Q46" i="12" s="1"/>
  <c r="L46" i="12"/>
  <c r="M46" i="12" s="1"/>
  <c r="N46" i="12" s="1"/>
  <c r="I46" i="12"/>
  <c r="F46" i="12"/>
  <c r="C46" i="12"/>
  <c r="D46" i="12" s="1"/>
  <c r="E46" i="12" s="1"/>
  <c r="AP45" i="12"/>
  <c r="AJ45" i="12"/>
  <c r="AK45" i="12" s="1"/>
  <c r="AL45" i="12" s="1"/>
  <c r="AG45" i="12"/>
  <c r="AH45" i="12" s="1"/>
  <c r="AI45" i="12" s="1"/>
  <c r="AD45" i="12"/>
  <c r="AE45" i="12" s="1"/>
  <c r="AF45" i="12" s="1"/>
  <c r="AA45" i="12"/>
  <c r="AB45" i="12" s="1"/>
  <c r="AC45" i="12" s="1"/>
  <c r="X45" i="12"/>
  <c r="Y45" i="12" s="1"/>
  <c r="Z45" i="12" s="1"/>
  <c r="U45" i="12"/>
  <c r="V45" i="12" s="1"/>
  <c r="W45" i="12" s="1"/>
  <c r="R45" i="12"/>
  <c r="S45" i="12" s="1"/>
  <c r="T45" i="12" s="1"/>
  <c r="P45" i="12"/>
  <c r="Q45" i="12" s="1"/>
  <c r="O45" i="12"/>
  <c r="L45" i="12"/>
  <c r="M45" i="12" s="1"/>
  <c r="N45" i="12" s="1"/>
  <c r="I45" i="12"/>
  <c r="F45" i="12"/>
  <c r="AW45" i="12" s="1"/>
  <c r="AY45" i="12" s="1"/>
  <c r="C45" i="12"/>
  <c r="D45" i="12" s="1"/>
  <c r="E45" i="12" s="1"/>
  <c r="AP44" i="12"/>
  <c r="AJ44" i="12"/>
  <c r="AK44" i="12" s="1"/>
  <c r="AL44" i="12" s="1"/>
  <c r="AG44" i="12"/>
  <c r="AH44" i="12" s="1"/>
  <c r="AI44" i="12" s="1"/>
  <c r="AD44" i="12"/>
  <c r="AE44" i="12" s="1"/>
  <c r="AF44" i="12" s="1"/>
  <c r="AA44" i="12"/>
  <c r="AB44" i="12" s="1"/>
  <c r="AC44" i="12" s="1"/>
  <c r="X44" i="12"/>
  <c r="Y44" i="12" s="1"/>
  <c r="Z44" i="12" s="1"/>
  <c r="U44" i="12"/>
  <c r="V44" i="12" s="1"/>
  <c r="W44" i="12" s="1"/>
  <c r="R44" i="12"/>
  <c r="S44" i="12" s="1"/>
  <c r="T44" i="12" s="1"/>
  <c r="O44" i="12"/>
  <c r="P44" i="12" s="1"/>
  <c r="Q44" i="12" s="1"/>
  <c r="L44" i="12"/>
  <c r="M44" i="12" s="1"/>
  <c r="N44" i="12" s="1"/>
  <c r="I44" i="12"/>
  <c r="F44" i="12"/>
  <c r="C44" i="12"/>
  <c r="D44" i="12" s="1"/>
  <c r="E44" i="12" s="1"/>
  <c r="AP43" i="12"/>
  <c r="AJ43" i="12"/>
  <c r="AK43" i="12" s="1"/>
  <c r="AL43" i="12" s="1"/>
  <c r="AG43" i="12"/>
  <c r="AH43" i="12" s="1"/>
  <c r="AI43" i="12" s="1"/>
  <c r="AD43" i="12"/>
  <c r="AE43" i="12" s="1"/>
  <c r="AF43" i="12" s="1"/>
  <c r="AA43" i="12"/>
  <c r="AB43" i="12" s="1"/>
  <c r="AC43" i="12" s="1"/>
  <c r="X43" i="12"/>
  <c r="Y43" i="12" s="1"/>
  <c r="Z43" i="12" s="1"/>
  <c r="U43" i="12"/>
  <c r="V43" i="12" s="1"/>
  <c r="W43" i="12" s="1"/>
  <c r="R43" i="12"/>
  <c r="S43" i="12" s="1"/>
  <c r="T43" i="12" s="1"/>
  <c r="O43" i="12"/>
  <c r="P43" i="12" s="1"/>
  <c r="Q43" i="12" s="1"/>
  <c r="L43" i="12"/>
  <c r="M43" i="12" s="1"/>
  <c r="N43" i="12" s="1"/>
  <c r="I43" i="12"/>
  <c r="BA43" i="12" s="1"/>
  <c r="BC43" i="12" s="1"/>
  <c r="F43" i="12"/>
  <c r="D43" i="12"/>
  <c r="E43" i="12" s="1"/>
  <c r="C43" i="12"/>
  <c r="AP42" i="12"/>
  <c r="AK42" i="12"/>
  <c r="AL42" i="12" s="1"/>
  <c r="AJ42" i="12"/>
  <c r="AG42" i="12"/>
  <c r="AH42" i="12" s="1"/>
  <c r="AI42" i="12" s="1"/>
  <c r="AD42" i="12"/>
  <c r="AA42" i="12"/>
  <c r="AB42" i="12" s="1"/>
  <c r="AC42" i="12" s="1"/>
  <c r="X42" i="12"/>
  <c r="Y42" i="12" s="1"/>
  <c r="Z42" i="12" s="1"/>
  <c r="U42" i="12"/>
  <c r="V42" i="12" s="1"/>
  <c r="W42" i="12" s="1"/>
  <c r="R42" i="12"/>
  <c r="S42" i="12" s="1"/>
  <c r="T42" i="12" s="1"/>
  <c r="O42" i="12"/>
  <c r="P42" i="12" s="1"/>
  <c r="Q42" i="12" s="1"/>
  <c r="L42" i="12"/>
  <c r="M42" i="12" s="1"/>
  <c r="N42" i="12" s="1"/>
  <c r="I42" i="12"/>
  <c r="F42" i="12"/>
  <c r="C42" i="12"/>
  <c r="D42" i="12" s="1"/>
  <c r="E42" i="12" s="1"/>
  <c r="AP41" i="12"/>
  <c r="AJ41" i="12"/>
  <c r="AG41" i="12"/>
  <c r="AH41" i="12" s="1"/>
  <c r="AI41" i="12" s="1"/>
  <c r="AD41" i="12"/>
  <c r="AE41" i="12" s="1"/>
  <c r="AF41" i="12" s="1"/>
  <c r="AA41" i="12"/>
  <c r="AB41" i="12" s="1"/>
  <c r="AC41" i="12" s="1"/>
  <c r="X41" i="12"/>
  <c r="Y41" i="12" s="1"/>
  <c r="Z41" i="12" s="1"/>
  <c r="U41" i="12"/>
  <c r="V41" i="12" s="1"/>
  <c r="W41" i="12" s="1"/>
  <c r="R41" i="12"/>
  <c r="S41" i="12" s="1"/>
  <c r="T41" i="12" s="1"/>
  <c r="O41" i="12"/>
  <c r="P41" i="12" s="1"/>
  <c r="Q41" i="12" s="1"/>
  <c r="L41" i="12"/>
  <c r="M41" i="12" s="1"/>
  <c r="N41" i="12" s="1"/>
  <c r="I41" i="12"/>
  <c r="G41" i="12"/>
  <c r="H41" i="12" s="1"/>
  <c r="F41" i="12"/>
  <c r="AW41" i="12" s="1"/>
  <c r="AY41" i="12" s="1"/>
  <c r="C41" i="12"/>
  <c r="D41" i="12" s="1"/>
  <c r="E41" i="12" s="1"/>
  <c r="AP40" i="12"/>
  <c r="AJ40" i="12"/>
  <c r="AK40" i="12" s="1"/>
  <c r="AL40" i="12" s="1"/>
  <c r="AG40" i="12"/>
  <c r="AH40" i="12" s="1"/>
  <c r="AI40" i="12" s="1"/>
  <c r="AD40" i="12"/>
  <c r="AE40" i="12" s="1"/>
  <c r="AF40" i="12" s="1"/>
  <c r="AA40" i="12"/>
  <c r="AB40" i="12" s="1"/>
  <c r="AC40" i="12" s="1"/>
  <c r="X40" i="12"/>
  <c r="Y40" i="12" s="1"/>
  <c r="Z40" i="12" s="1"/>
  <c r="U40" i="12"/>
  <c r="V40" i="12" s="1"/>
  <c r="W40" i="12" s="1"/>
  <c r="R40" i="12"/>
  <c r="S40" i="12" s="1"/>
  <c r="T40" i="12" s="1"/>
  <c r="O40" i="12"/>
  <c r="P40" i="12" s="1"/>
  <c r="Q40" i="12" s="1"/>
  <c r="L40" i="12"/>
  <c r="M40" i="12" s="1"/>
  <c r="N40" i="12" s="1"/>
  <c r="I40" i="12"/>
  <c r="F40" i="12"/>
  <c r="C40" i="12"/>
  <c r="D40" i="12" s="1"/>
  <c r="E40" i="12" s="1"/>
  <c r="AP39" i="12"/>
  <c r="AJ39" i="12"/>
  <c r="AG39" i="12"/>
  <c r="AH39" i="12" s="1"/>
  <c r="AI39" i="12" s="1"/>
  <c r="AD39" i="12"/>
  <c r="AE39" i="12" s="1"/>
  <c r="AF39" i="12" s="1"/>
  <c r="AA39" i="12"/>
  <c r="AB39" i="12" s="1"/>
  <c r="AC39" i="12" s="1"/>
  <c r="X39" i="12"/>
  <c r="Y39" i="12" s="1"/>
  <c r="Z39" i="12" s="1"/>
  <c r="U39" i="12"/>
  <c r="V39" i="12" s="1"/>
  <c r="W39" i="12" s="1"/>
  <c r="R39" i="12"/>
  <c r="S39" i="12" s="1"/>
  <c r="T39" i="12" s="1"/>
  <c r="O39" i="12"/>
  <c r="P39" i="12" s="1"/>
  <c r="Q39" i="12" s="1"/>
  <c r="L39" i="12"/>
  <c r="M39" i="12" s="1"/>
  <c r="N39" i="12" s="1"/>
  <c r="I39" i="12"/>
  <c r="F39" i="12"/>
  <c r="C39" i="12"/>
  <c r="D39" i="12" s="1"/>
  <c r="E39" i="12" s="1"/>
  <c r="AP38" i="12"/>
  <c r="AJ38" i="12"/>
  <c r="AK38" i="12" s="1"/>
  <c r="AL38" i="12" s="1"/>
  <c r="AG38" i="12"/>
  <c r="AH38" i="12" s="1"/>
  <c r="AI38" i="12" s="1"/>
  <c r="AD38" i="12"/>
  <c r="AE38" i="12" s="1"/>
  <c r="AF38" i="12" s="1"/>
  <c r="AA38" i="12"/>
  <c r="AB38" i="12" s="1"/>
  <c r="AC38" i="12" s="1"/>
  <c r="X38" i="12"/>
  <c r="Y38" i="12" s="1"/>
  <c r="Z38" i="12" s="1"/>
  <c r="U38" i="12"/>
  <c r="V38" i="12" s="1"/>
  <c r="W38" i="12" s="1"/>
  <c r="R38" i="12"/>
  <c r="S38" i="12" s="1"/>
  <c r="T38" i="12" s="1"/>
  <c r="O38" i="12"/>
  <c r="P38" i="12" s="1"/>
  <c r="Q38" i="12" s="1"/>
  <c r="L38" i="12"/>
  <c r="M38" i="12" s="1"/>
  <c r="N38" i="12" s="1"/>
  <c r="I38" i="12"/>
  <c r="F38" i="12"/>
  <c r="AW38" i="12" s="1"/>
  <c r="AY38" i="12" s="1"/>
  <c r="C38" i="12"/>
  <c r="D38" i="12" s="1"/>
  <c r="E38" i="12" s="1"/>
  <c r="AP37" i="12"/>
  <c r="AJ37" i="12"/>
  <c r="AG37" i="12"/>
  <c r="AH37" i="12" s="1"/>
  <c r="AI37" i="12" s="1"/>
  <c r="AD37" i="12"/>
  <c r="AE37" i="12" s="1"/>
  <c r="AF37" i="12" s="1"/>
  <c r="AA37" i="12"/>
  <c r="AB37" i="12" s="1"/>
  <c r="AC37" i="12" s="1"/>
  <c r="X37" i="12"/>
  <c r="Y37" i="12" s="1"/>
  <c r="Z37" i="12" s="1"/>
  <c r="U37" i="12"/>
  <c r="V37" i="12" s="1"/>
  <c r="W37" i="12" s="1"/>
  <c r="R37" i="12"/>
  <c r="S37" i="12" s="1"/>
  <c r="T37" i="12" s="1"/>
  <c r="O37" i="12"/>
  <c r="P37" i="12" s="1"/>
  <c r="Q37" i="12" s="1"/>
  <c r="L37" i="12"/>
  <c r="M37" i="12" s="1"/>
  <c r="N37" i="12" s="1"/>
  <c r="I37" i="12"/>
  <c r="F37" i="12"/>
  <c r="AW37" i="12" s="1"/>
  <c r="AY37" i="12" s="1"/>
  <c r="C37" i="12"/>
  <c r="D37" i="12" s="1"/>
  <c r="E37" i="12" s="1"/>
  <c r="AP36" i="12"/>
  <c r="AJ36" i="12"/>
  <c r="AG36" i="12"/>
  <c r="AH36" i="12" s="1"/>
  <c r="AI36" i="12" s="1"/>
  <c r="AD36" i="12"/>
  <c r="AE36" i="12" s="1"/>
  <c r="AF36" i="12" s="1"/>
  <c r="AA36" i="12"/>
  <c r="AB36" i="12" s="1"/>
  <c r="AC36" i="12" s="1"/>
  <c r="X36" i="12"/>
  <c r="Y36" i="12" s="1"/>
  <c r="Z36" i="12" s="1"/>
  <c r="U36" i="12"/>
  <c r="V36" i="12" s="1"/>
  <c r="W36" i="12" s="1"/>
  <c r="R36" i="12"/>
  <c r="S36" i="12" s="1"/>
  <c r="T36" i="12" s="1"/>
  <c r="O36" i="12"/>
  <c r="P36" i="12" s="1"/>
  <c r="Q36" i="12" s="1"/>
  <c r="L36" i="12"/>
  <c r="M36" i="12" s="1"/>
  <c r="N36" i="12" s="1"/>
  <c r="I36" i="12"/>
  <c r="F36" i="12"/>
  <c r="C36" i="12"/>
  <c r="D36" i="12" s="1"/>
  <c r="E36" i="12" s="1"/>
  <c r="AP35" i="12"/>
  <c r="AJ35" i="12"/>
  <c r="AK35" i="12" s="1"/>
  <c r="AL35" i="12" s="1"/>
  <c r="AG35" i="12"/>
  <c r="AH35" i="12" s="1"/>
  <c r="AI35" i="12" s="1"/>
  <c r="AD35" i="12"/>
  <c r="AE35" i="12" s="1"/>
  <c r="AF35" i="12" s="1"/>
  <c r="AA35" i="12"/>
  <c r="AB35" i="12" s="1"/>
  <c r="AC35" i="12" s="1"/>
  <c r="X35" i="12"/>
  <c r="Y35" i="12" s="1"/>
  <c r="Z35" i="12" s="1"/>
  <c r="U35" i="12"/>
  <c r="V35" i="12" s="1"/>
  <c r="W35" i="12" s="1"/>
  <c r="R35" i="12"/>
  <c r="S35" i="12" s="1"/>
  <c r="T35" i="12" s="1"/>
  <c r="O35" i="12"/>
  <c r="P35" i="12" s="1"/>
  <c r="Q35" i="12" s="1"/>
  <c r="L35" i="12"/>
  <c r="M35" i="12" s="1"/>
  <c r="N35" i="12" s="1"/>
  <c r="I35" i="12"/>
  <c r="F35" i="12"/>
  <c r="C35" i="12"/>
  <c r="D35" i="12" s="1"/>
  <c r="E35" i="12" s="1"/>
  <c r="AP34" i="12"/>
  <c r="AJ34" i="12"/>
  <c r="AK34" i="12" s="1"/>
  <c r="AL34" i="12" s="1"/>
  <c r="AG34" i="12"/>
  <c r="AH34" i="12" s="1"/>
  <c r="AI34" i="12" s="1"/>
  <c r="AD34" i="12"/>
  <c r="AE34" i="12" s="1"/>
  <c r="AF34" i="12" s="1"/>
  <c r="AA34" i="12"/>
  <c r="X34" i="12"/>
  <c r="Y34" i="12" s="1"/>
  <c r="Z34" i="12" s="1"/>
  <c r="U34" i="12"/>
  <c r="V34" i="12" s="1"/>
  <c r="W34" i="12" s="1"/>
  <c r="R34" i="12"/>
  <c r="S34" i="12" s="1"/>
  <c r="T34" i="12" s="1"/>
  <c r="O34" i="12"/>
  <c r="P34" i="12" s="1"/>
  <c r="Q34" i="12" s="1"/>
  <c r="L34" i="12"/>
  <c r="M34" i="12" s="1"/>
  <c r="N34" i="12" s="1"/>
  <c r="I34" i="12"/>
  <c r="F34" i="12"/>
  <c r="C34" i="12"/>
  <c r="D34" i="12" s="1"/>
  <c r="E34" i="12" s="1"/>
  <c r="AP33" i="12"/>
  <c r="AJ33" i="12"/>
  <c r="AG33" i="12"/>
  <c r="AH33" i="12" s="1"/>
  <c r="AI33" i="12" s="1"/>
  <c r="AD33" i="12"/>
  <c r="AE33" i="12" s="1"/>
  <c r="AF33" i="12" s="1"/>
  <c r="AA33" i="12"/>
  <c r="AB33" i="12" s="1"/>
  <c r="AC33" i="12" s="1"/>
  <c r="X33" i="12"/>
  <c r="Y33" i="12" s="1"/>
  <c r="Z33" i="12" s="1"/>
  <c r="U33" i="12"/>
  <c r="V33" i="12" s="1"/>
  <c r="W33" i="12" s="1"/>
  <c r="R33" i="12"/>
  <c r="S33" i="12" s="1"/>
  <c r="T33" i="12" s="1"/>
  <c r="O33" i="12"/>
  <c r="P33" i="12" s="1"/>
  <c r="Q33" i="12" s="1"/>
  <c r="L33" i="12"/>
  <c r="M33" i="12" s="1"/>
  <c r="N33" i="12" s="1"/>
  <c r="I33" i="12"/>
  <c r="F33" i="12"/>
  <c r="AW33" i="12" s="1"/>
  <c r="AY33" i="12" s="1"/>
  <c r="C33" i="12"/>
  <c r="D33" i="12" s="1"/>
  <c r="E33" i="12" s="1"/>
  <c r="AP32" i="12"/>
  <c r="AJ32" i="12"/>
  <c r="AK32" i="12" s="1"/>
  <c r="AL32" i="12" s="1"/>
  <c r="AG32" i="12"/>
  <c r="AH32" i="12" s="1"/>
  <c r="AI32" i="12" s="1"/>
  <c r="AD32" i="12"/>
  <c r="AE32" i="12" s="1"/>
  <c r="AF32" i="12" s="1"/>
  <c r="AA32" i="12"/>
  <c r="AB32" i="12" s="1"/>
  <c r="AC32" i="12" s="1"/>
  <c r="X32" i="12"/>
  <c r="Y32" i="12" s="1"/>
  <c r="Z32" i="12" s="1"/>
  <c r="U32" i="12"/>
  <c r="V32" i="12" s="1"/>
  <c r="W32" i="12" s="1"/>
  <c r="R32" i="12"/>
  <c r="S32" i="12" s="1"/>
  <c r="T32" i="12" s="1"/>
  <c r="O32" i="12"/>
  <c r="P32" i="12" s="1"/>
  <c r="Q32" i="12" s="1"/>
  <c r="L32" i="12"/>
  <c r="M32" i="12" s="1"/>
  <c r="N32" i="12" s="1"/>
  <c r="I32" i="12"/>
  <c r="F32" i="12"/>
  <c r="C32" i="12"/>
  <c r="D32" i="12" s="1"/>
  <c r="E32" i="12" s="1"/>
  <c r="AP31" i="12"/>
  <c r="AJ31" i="12"/>
  <c r="AK31" i="12" s="1"/>
  <c r="AL31" i="12" s="1"/>
  <c r="AG31" i="12"/>
  <c r="AH31" i="12" s="1"/>
  <c r="AI31" i="12" s="1"/>
  <c r="AD31" i="12"/>
  <c r="AE31" i="12" s="1"/>
  <c r="AF31" i="12" s="1"/>
  <c r="AA31" i="12"/>
  <c r="AB31" i="12" s="1"/>
  <c r="AC31" i="12" s="1"/>
  <c r="X31" i="12"/>
  <c r="Y31" i="12" s="1"/>
  <c r="Z31" i="12" s="1"/>
  <c r="U31" i="12"/>
  <c r="V31" i="12" s="1"/>
  <c r="W31" i="12" s="1"/>
  <c r="R31" i="12"/>
  <c r="S31" i="12" s="1"/>
  <c r="T31" i="12" s="1"/>
  <c r="O31" i="12"/>
  <c r="P31" i="12" s="1"/>
  <c r="Q31" i="12" s="1"/>
  <c r="L31" i="12"/>
  <c r="M31" i="12" s="1"/>
  <c r="N31" i="12" s="1"/>
  <c r="I31" i="12"/>
  <c r="F31" i="12"/>
  <c r="C31" i="12"/>
  <c r="D31" i="12" s="1"/>
  <c r="E31" i="12" s="1"/>
  <c r="AP30" i="12"/>
  <c r="AJ30" i="12"/>
  <c r="AK30" i="12" s="1"/>
  <c r="AL30" i="12" s="1"/>
  <c r="AG30" i="12"/>
  <c r="AH30" i="12" s="1"/>
  <c r="AI30" i="12" s="1"/>
  <c r="AD30" i="12"/>
  <c r="AE30" i="12" s="1"/>
  <c r="AF30" i="12" s="1"/>
  <c r="AA30" i="12"/>
  <c r="AB30" i="12" s="1"/>
  <c r="AC30" i="12" s="1"/>
  <c r="X30" i="12"/>
  <c r="Y30" i="12" s="1"/>
  <c r="Z30" i="12" s="1"/>
  <c r="V30" i="12"/>
  <c r="W30" i="12" s="1"/>
  <c r="U30" i="12"/>
  <c r="R30" i="12"/>
  <c r="S30" i="12" s="1"/>
  <c r="T30" i="12" s="1"/>
  <c r="O30" i="12"/>
  <c r="P30" i="12" s="1"/>
  <c r="Q30" i="12" s="1"/>
  <c r="L30" i="12"/>
  <c r="M30" i="12" s="1"/>
  <c r="N30" i="12" s="1"/>
  <c r="I30" i="12"/>
  <c r="F30" i="12"/>
  <c r="C30" i="12"/>
  <c r="D30" i="12" s="1"/>
  <c r="E30" i="12" s="1"/>
  <c r="AP29" i="12"/>
  <c r="AJ29" i="12"/>
  <c r="AK29" i="12" s="1"/>
  <c r="AL29" i="12" s="1"/>
  <c r="AG29" i="12"/>
  <c r="AH29" i="12" s="1"/>
  <c r="AI29" i="12" s="1"/>
  <c r="AD29" i="12"/>
  <c r="AE29" i="12" s="1"/>
  <c r="AF29" i="12" s="1"/>
  <c r="AA29" i="12"/>
  <c r="AB29" i="12" s="1"/>
  <c r="AC29" i="12" s="1"/>
  <c r="X29" i="12"/>
  <c r="Y29" i="12" s="1"/>
  <c r="Z29" i="12" s="1"/>
  <c r="U29" i="12"/>
  <c r="V29" i="12" s="1"/>
  <c r="W29" i="12" s="1"/>
  <c r="R29" i="12"/>
  <c r="S29" i="12" s="1"/>
  <c r="T29" i="12" s="1"/>
  <c r="O29" i="12"/>
  <c r="P29" i="12" s="1"/>
  <c r="Q29" i="12" s="1"/>
  <c r="L29" i="12"/>
  <c r="M29" i="12" s="1"/>
  <c r="N29" i="12" s="1"/>
  <c r="I29" i="12"/>
  <c r="F29" i="12"/>
  <c r="C29" i="12"/>
  <c r="D29" i="12" s="1"/>
  <c r="E29" i="12" s="1"/>
  <c r="AP28" i="12"/>
  <c r="AJ28" i="12"/>
  <c r="AG28" i="12"/>
  <c r="AH28" i="12" s="1"/>
  <c r="AI28" i="12" s="1"/>
  <c r="AD28" i="12"/>
  <c r="AE28" i="12" s="1"/>
  <c r="AF28" i="12" s="1"/>
  <c r="AA28" i="12"/>
  <c r="AB28" i="12" s="1"/>
  <c r="AC28" i="12" s="1"/>
  <c r="X28" i="12"/>
  <c r="Y28" i="12" s="1"/>
  <c r="Z28" i="12" s="1"/>
  <c r="U28" i="12"/>
  <c r="V28" i="12" s="1"/>
  <c r="W28" i="12" s="1"/>
  <c r="R28" i="12"/>
  <c r="S28" i="12" s="1"/>
  <c r="T28" i="12" s="1"/>
  <c r="O28" i="12"/>
  <c r="P28" i="12" s="1"/>
  <c r="Q28" i="12" s="1"/>
  <c r="L28" i="12"/>
  <c r="M28" i="12" s="1"/>
  <c r="N28" i="12" s="1"/>
  <c r="I28" i="12"/>
  <c r="F28" i="12"/>
  <c r="C28" i="12"/>
  <c r="D28" i="12" s="1"/>
  <c r="E28" i="12" s="1"/>
  <c r="AP27" i="12"/>
  <c r="AJ27" i="12"/>
  <c r="AK27" i="12" s="1"/>
  <c r="AL27" i="12" s="1"/>
  <c r="AG27" i="12"/>
  <c r="AH27" i="12" s="1"/>
  <c r="AI27" i="12" s="1"/>
  <c r="AD27" i="12"/>
  <c r="AE27" i="12" s="1"/>
  <c r="AF27" i="12" s="1"/>
  <c r="AA27" i="12"/>
  <c r="AB27" i="12" s="1"/>
  <c r="AC27" i="12" s="1"/>
  <c r="X27" i="12"/>
  <c r="Y27" i="12" s="1"/>
  <c r="Z27" i="12" s="1"/>
  <c r="U27" i="12"/>
  <c r="V27" i="12" s="1"/>
  <c r="W27" i="12" s="1"/>
  <c r="R27" i="12"/>
  <c r="S27" i="12" s="1"/>
  <c r="T27" i="12" s="1"/>
  <c r="O27" i="12"/>
  <c r="P27" i="12" s="1"/>
  <c r="Q27" i="12" s="1"/>
  <c r="L27" i="12"/>
  <c r="M27" i="12" s="1"/>
  <c r="N27" i="12" s="1"/>
  <c r="I27" i="12"/>
  <c r="F27" i="12"/>
  <c r="AW27" i="12" s="1"/>
  <c r="AY27" i="12" s="1"/>
  <c r="C27" i="12"/>
  <c r="D27" i="12" s="1"/>
  <c r="E27" i="12" s="1"/>
  <c r="AP26" i="12"/>
  <c r="AJ26" i="12"/>
  <c r="AK26" i="12" s="1"/>
  <c r="AL26" i="12" s="1"/>
  <c r="AG26" i="12"/>
  <c r="AH26" i="12" s="1"/>
  <c r="AI26" i="12" s="1"/>
  <c r="AD26" i="12"/>
  <c r="AE26" i="12" s="1"/>
  <c r="AF26" i="12" s="1"/>
  <c r="AA26" i="12"/>
  <c r="AB26" i="12" s="1"/>
  <c r="AC26" i="12" s="1"/>
  <c r="X26" i="12"/>
  <c r="Y26" i="12" s="1"/>
  <c r="Z26" i="12" s="1"/>
  <c r="U26" i="12"/>
  <c r="V26" i="12" s="1"/>
  <c r="W26" i="12" s="1"/>
  <c r="R26" i="12"/>
  <c r="S26" i="12" s="1"/>
  <c r="T26" i="12" s="1"/>
  <c r="O26" i="12"/>
  <c r="P26" i="12" s="1"/>
  <c r="Q26" i="12" s="1"/>
  <c r="L26" i="12"/>
  <c r="M26" i="12" s="1"/>
  <c r="N26" i="12" s="1"/>
  <c r="I26" i="12"/>
  <c r="F26" i="12"/>
  <c r="C26" i="12"/>
  <c r="D26" i="12" s="1"/>
  <c r="E26" i="12" s="1"/>
  <c r="AP25" i="12"/>
  <c r="AJ25" i="12"/>
  <c r="AK25" i="12" s="1"/>
  <c r="AL25" i="12" s="1"/>
  <c r="AG25" i="12"/>
  <c r="AD25" i="12"/>
  <c r="AE25" i="12" s="1"/>
  <c r="AF25" i="12" s="1"/>
  <c r="AA25" i="12"/>
  <c r="AB25" i="12" s="1"/>
  <c r="AC25" i="12" s="1"/>
  <c r="Y25" i="12"/>
  <c r="Z25" i="12" s="1"/>
  <c r="X25" i="12"/>
  <c r="U25" i="12"/>
  <c r="V25" i="12" s="1"/>
  <c r="W25" i="12" s="1"/>
  <c r="R25" i="12"/>
  <c r="S25" i="12" s="1"/>
  <c r="T25" i="12" s="1"/>
  <c r="O25" i="12"/>
  <c r="P25" i="12" s="1"/>
  <c r="Q25" i="12" s="1"/>
  <c r="M25" i="12"/>
  <c r="N25" i="12" s="1"/>
  <c r="J25" i="12"/>
  <c r="K25" i="12" s="1"/>
  <c r="G25" i="12"/>
  <c r="H25" i="12" s="1"/>
  <c r="D25" i="12"/>
  <c r="E25" i="12" s="1"/>
  <c r="AP24" i="12"/>
  <c r="AK24" i="12"/>
  <c r="AL24" i="12" s="1"/>
  <c r="AH24" i="12"/>
  <c r="AI24" i="12" s="1"/>
  <c r="AE24" i="12"/>
  <c r="AF24" i="12" s="1"/>
  <c r="AB24" i="12"/>
  <c r="AC24" i="12" s="1"/>
  <c r="Y24" i="12"/>
  <c r="Z24" i="12" s="1"/>
  <c r="U24" i="12"/>
  <c r="V24" i="12" s="1"/>
  <c r="W24" i="12" s="1"/>
  <c r="R24" i="12"/>
  <c r="S24" i="12" s="1"/>
  <c r="T24" i="12" s="1"/>
  <c r="O24" i="12"/>
  <c r="L24" i="12"/>
  <c r="M24" i="12" s="1"/>
  <c r="N24" i="12" s="1"/>
  <c r="I24" i="12"/>
  <c r="F24" i="12"/>
  <c r="C24" i="12"/>
  <c r="D24" i="12" s="1"/>
  <c r="E24" i="12" s="1"/>
  <c r="AP23" i="12"/>
  <c r="AJ23" i="12"/>
  <c r="AK23" i="12" s="1"/>
  <c r="AL23" i="12" s="1"/>
  <c r="AG23" i="12"/>
  <c r="AH23" i="12" s="1"/>
  <c r="AI23" i="12" s="1"/>
  <c r="AD23" i="12"/>
  <c r="AE23" i="12" s="1"/>
  <c r="AF23" i="12" s="1"/>
  <c r="AA23" i="12"/>
  <c r="AB23" i="12" s="1"/>
  <c r="AC23" i="12" s="1"/>
  <c r="X23" i="12"/>
  <c r="Y23" i="12" s="1"/>
  <c r="Z23" i="12" s="1"/>
  <c r="U23" i="12"/>
  <c r="V23" i="12" s="1"/>
  <c r="W23" i="12" s="1"/>
  <c r="R23" i="12"/>
  <c r="S23" i="12" s="1"/>
  <c r="T23" i="12" s="1"/>
  <c r="O23" i="12"/>
  <c r="P23" i="12" s="1"/>
  <c r="Q23" i="12" s="1"/>
  <c r="L23" i="12"/>
  <c r="M23" i="12" s="1"/>
  <c r="N23" i="12" s="1"/>
  <c r="I23" i="12"/>
  <c r="F23" i="12"/>
  <c r="AW23" i="12" s="1"/>
  <c r="AY23" i="12" s="1"/>
  <c r="C23" i="12"/>
  <c r="D23" i="12" s="1"/>
  <c r="E23" i="12" s="1"/>
  <c r="AP22" i="12"/>
  <c r="AJ22" i="12"/>
  <c r="AG22" i="12"/>
  <c r="AH22" i="12" s="1"/>
  <c r="AI22" i="12" s="1"/>
  <c r="AD22" i="12"/>
  <c r="AE22" i="12" s="1"/>
  <c r="AF22" i="12" s="1"/>
  <c r="AA22" i="12"/>
  <c r="AB22" i="12" s="1"/>
  <c r="AC22" i="12" s="1"/>
  <c r="X22" i="12"/>
  <c r="Y22" i="12" s="1"/>
  <c r="Z22" i="12" s="1"/>
  <c r="U22" i="12"/>
  <c r="V22" i="12" s="1"/>
  <c r="W22" i="12" s="1"/>
  <c r="R22" i="12"/>
  <c r="S22" i="12" s="1"/>
  <c r="T22" i="12" s="1"/>
  <c r="O22" i="12"/>
  <c r="P22" i="12" s="1"/>
  <c r="Q22" i="12" s="1"/>
  <c r="L22" i="12"/>
  <c r="M22" i="12" s="1"/>
  <c r="N22" i="12" s="1"/>
  <c r="I22" i="12"/>
  <c r="F22" i="12"/>
  <c r="C22" i="12"/>
  <c r="D22" i="12" s="1"/>
  <c r="E22" i="12" s="1"/>
  <c r="AP21" i="12"/>
  <c r="AJ21" i="12"/>
  <c r="AK21" i="12" s="1"/>
  <c r="AL21" i="12" s="1"/>
  <c r="AG21" i="12"/>
  <c r="AD21" i="12"/>
  <c r="AE21" i="12" s="1"/>
  <c r="AF21" i="12" s="1"/>
  <c r="AA21" i="12"/>
  <c r="AB21" i="12" s="1"/>
  <c r="AC21" i="12" s="1"/>
  <c r="X21" i="12"/>
  <c r="Y21" i="12" s="1"/>
  <c r="Z21" i="12" s="1"/>
  <c r="U21" i="12"/>
  <c r="V21" i="12" s="1"/>
  <c r="W21" i="12" s="1"/>
  <c r="R21" i="12"/>
  <c r="S21" i="12" s="1"/>
  <c r="T21" i="12" s="1"/>
  <c r="O21" i="12"/>
  <c r="P21" i="12" s="1"/>
  <c r="Q21" i="12" s="1"/>
  <c r="L21" i="12"/>
  <c r="M21" i="12" s="1"/>
  <c r="N21" i="12" s="1"/>
  <c r="I21" i="12"/>
  <c r="F21" i="12"/>
  <c r="AW21" i="12" s="1"/>
  <c r="AY21" i="12" s="1"/>
  <c r="C21" i="12"/>
  <c r="D21" i="12" s="1"/>
  <c r="E21" i="12" s="1"/>
  <c r="AP20" i="12"/>
  <c r="AJ20" i="12"/>
  <c r="AH20" i="12"/>
  <c r="AI20" i="12" s="1"/>
  <c r="AG20" i="12"/>
  <c r="AD20" i="12"/>
  <c r="AE20" i="12" s="1"/>
  <c r="AF20" i="12" s="1"/>
  <c r="AA20" i="12"/>
  <c r="AB20" i="12" s="1"/>
  <c r="AC20" i="12" s="1"/>
  <c r="X20" i="12"/>
  <c r="Y20" i="12" s="1"/>
  <c r="Z20" i="12" s="1"/>
  <c r="U20" i="12"/>
  <c r="V20" i="12" s="1"/>
  <c r="W20" i="12" s="1"/>
  <c r="R20" i="12"/>
  <c r="S20" i="12" s="1"/>
  <c r="T20" i="12" s="1"/>
  <c r="O20" i="12"/>
  <c r="P20" i="12" s="1"/>
  <c r="Q20" i="12" s="1"/>
  <c r="L20" i="12"/>
  <c r="M20" i="12" s="1"/>
  <c r="N20" i="12" s="1"/>
  <c r="I20" i="12"/>
  <c r="F20" i="12"/>
  <c r="C20" i="12"/>
  <c r="D20" i="12" s="1"/>
  <c r="E20" i="12" s="1"/>
  <c r="AP19" i="12"/>
  <c r="AJ19" i="12"/>
  <c r="AG19" i="12"/>
  <c r="AH19" i="12" s="1"/>
  <c r="AI19" i="12" s="1"/>
  <c r="AD19" i="12"/>
  <c r="AE19" i="12" s="1"/>
  <c r="AF19" i="12" s="1"/>
  <c r="AA19" i="12"/>
  <c r="AB19" i="12" s="1"/>
  <c r="AC19" i="12" s="1"/>
  <c r="X19" i="12"/>
  <c r="Y19" i="12" s="1"/>
  <c r="Z19" i="12" s="1"/>
  <c r="U19" i="12"/>
  <c r="V19" i="12" s="1"/>
  <c r="W19" i="12" s="1"/>
  <c r="R19" i="12"/>
  <c r="S19" i="12" s="1"/>
  <c r="T19" i="12" s="1"/>
  <c r="O19" i="12"/>
  <c r="P19" i="12" s="1"/>
  <c r="Q19" i="12" s="1"/>
  <c r="L19" i="12"/>
  <c r="M19" i="12" s="1"/>
  <c r="N19" i="12" s="1"/>
  <c r="I19" i="12"/>
  <c r="F19" i="12"/>
  <c r="C19" i="12"/>
  <c r="D19" i="12" s="1"/>
  <c r="E19" i="12" s="1"/>
  <c r="AP18" i="12"/>
  <c r="AJ18" i="12"/>
  <c r="AG18" i="12"/>
  <c r="AH18" i="12" s="1"/>
  <c r="AI18" i="12" s="1"/>
  <c r="AD18" i="12"/>
  <c r="AE18" i="12" s="1"/>
  <c r="AF18" i="12" s="1"/>
  <c r="AA18" i="12"/>
  <c r="AB18" i="12" s="1"/>
  <c r="AC18" i="12" s="1"/>
  <c r="X18" i="12"/>
  <c r="Y18" i="12" s="1"/>
  <c r="Z18" i="12" s="1"/>
  <c r="U18" i="12"/>
  <c r="V18" i="12" s="1"/>
  <c r="W18" i="12" s="1"/>
  <c r="R18" i="12"/>
  <c r="S18" i="12" s="1"/>
  <c r="T18" i="12" s="1"/>
  <c r="O18" i="12"/>
  <c r="P18" i="12" s="1"/>
  <c r="Q18" i="12" s="1"/>
  <c r="L18" i="12"/>
  <c r="M18" i="12" s="1"/>
  <c r="N18" i="12" s="1"/>
  <c r="I18" i="12"/>
  <c r="F18" i="12"/>
  <c r="C18" i="12"/>
  <c r="D18" i="12" s="1"/>
  <c r="E18" i="12" s="1"/>
  <c r="AP17" i="12"/>
  <c r="AJ17" i="12"/>
  <c r="AK17" i="12" s="1"/>
  <c r="AL17" i="12" s="1"/>
  <c r="AG17" i="12"/>
  <c r="AH17" i="12" s="1"/>
  <c r="AI17" i="12" s="1"/>
  <c r="AD17" i="12"/>
  <c r="AA17" i="12"/>
  <c r="AB17" i="12" s="1"/>
  <c r="AC17" i="12" s="1"/>
  <c r="X17" i="12"/>
  <c r="Y17" i="12" s="1"/>
  <c r="Z17" i="12" s="1"/>
  <c r="U17" i="12"/>
  <c r="V17" i="12" s="1"/>
  <c r="W17" i="12" s="1"/>
  <c r="R17" i="12"/>
  <c r="S17" i="12" s="1"/>
  <c r="T17" i="12" s="1"/>
  <c r="O17" i="12"/>
  <c r="P17" i="12" s="1"/>
  <c r="Q17" i="12" s="1"/>
  <c r="L17" i="12"/>
  <c r="M17" i="12" s="1"/>
  <c r="N17" i="12" s="1"/>
  <c r="I17" i="12"/>
  <c r="F17" i="12"/>
  <c r="C17" i="12"/>
  <c r="D17" i="12" s="1"/>
  <c r="E17" i="12" s="1"/>
  <c r="AP16" i="12"/>
  <c r="AJ16" i="12"/>
  <c r="AG16" i="12"/>
  <c r="AH16" i="12" s="1"/>
  <c r="AI16" i="12" s="1"/>
  <c r="AD16" i="12"/>
  <c r="AE16" i="12" s="1"/>
  <c r="AF16" i="12" s="1"/>
  <c r="AA16" i="12"/>
  <c r="AB16" i="12" s="1"/>
  <c r="AC16" i="12" s="1"/>
  <c r="X16" i="12"/>
  <c r="Y16" i="12" s="1"/>
  <c r="Z16" i="12" s="1"/>
  <c r="U16" i="12"/>
  <c r="V16" i="12" s="1"/>
  <c r="W16" i="12" s="1"/>
  <c r="R16" i="12"/>
  <c r="S16" i="12" s="1"/>
  <c r="T16" i="12" s="1"/>
  <c r="O16" i="12"/>
  <c r="P16" i="12" s="1"/>
  <c r="Q16" i="12" s="1"/>
  <c r="L16" i="12"/>
  <c r="M16" i="12" s="1"/>
  <c r="N16" i="12" s="1"/>
  <c r="I16" i="12"/>
  <c r="F16" i="12"/>
  <c r="C16" i="12"/>
  <c r="D16" i="12" s="1"/>
  <c r="E16" i="12" s="1"/>
  <c r="AP15" i="12"/>
  <c r="AJ15" i="12"/>
  <c r="AK15" i="12" s="1"/>
  <c r="AL15" i="12" s="1"/>
  <c r="AG15" i="12"/>
  <c r="AH15" i="12" s="1"/>
  <c r="AI15" i="12" s="1"/>
  <c r="AD15" i="12"/>
  <c r="AE15" i="12" s="1"/>
  <c r="AF15" i="12" s="1"/>
  <c r="AA15" i="12"/>
  <c r="AB15" i="12" s="1"/>
  <c r="AC15" i="12" s="1"/>
  <c r="X15" i="12"/>
  <c r="Y15" i="12" s="1"/>
  <c r="Z15" i="12" s="1"/>
  <c r="U15" i="12"/>
  <c r="V15" i="12" s="1"/>
  <c r="W15" i="12" s="1"/>
  <c r="R15" i="12"/>
  <c r="S15" i="12" s="1"/>
  <c r="T15" i="12" s="1"/>
  <c r="O15" i="12"/>
  <c r="P15" i="12" s="1"/>
  <c r="Q15" i="12" s="1"/>
  <c r="L15" i="12"/>
  <c r="M15" i="12" s="1"/>
  <c r="N15" i="12" s="1"/>
  <c r="I15" i="12"/>
  <c r="F15" i="12"/>
  <c r="C15" i="12"/>
  <c r="D15" i="12" s="1"/>
  <c r="E15" i="12" s="1"/>
  <c r="AP14" i="12"/>
  <c r="AJ14" i="12"/>
  <c r="AK14" i="12" s="1"/>
  <c r="AL14" i="12" s="1"/>
  <c r="AG14" i="12"/>
  <c r="AH14" i="12" s="1"/>
  <c r="AI14" i="12" s="1"/>
  <c r="AD14" i="12"/>
  <c r="AE14" i="12" s="1"/>
  <c r="AF14" i="12" s="1"/>
  <c r="AA14" i="12"/>
  <c r="AB14" i="12" s="1"/>
  <c r="AC14" i="12" s="1"/>
  <c r="X14" i="12"/>
  <c r="Y14" i="12" s="1"/>
  <c r="Z14" i="12" s="1"/>
  <c r="U14" i="12"/>
  <c r="V14" i="12" s="1"/>
  <c r="W14" i="12" s="1"/>
  <c r="R14" i="12"/>
  <c r="S14" i="12" s="1"/>
  <c r="T14" i="12" s="1"/>
  <c r="O14" i="12"/>
  <c r="P14" i="12" s="1"/>
  <c r="Q14" i="12" s="1"/>
  <c r="L14" i="12"/>
  <c r="M14" i="12" s="1"/>
  <c r="N14" i="12" s="1"/>
  <c r="I14" i="12"/>
  <c r="F14" i="12"/>
  <c r="C14" i="12"/>
  <c r="D14" i="12" s="1"/>
  <c r="E14" i="12" s="1"/>
  <c r="AP13" i="12"/>
  <c r="AJ13" i="12"/>
  <c r="AK13" i="12" s="1"/>
  <c r="AL13" i="12" s="1"/>
  <c r="AG13" i="12"/>
  <c r="AD13" i="12"/>
  <c r="AE13" i="12" s="1"/>
  <c r="AF13" i="12" s="1"/>
  <c r="AA13" i="12"/>
  <c r="AB13" i="12" s="1"/>
  <c r="AC13" i="12" s="1"/>
  <c r="X13" i="12"/>
  <c r="Y13" i="12" s="1"/>
  <c r="Z13" i="12" s="1"/>
  <c r="U13" i="12"/>
  <c r="V13" i="12" s="1"/>
  <c r="W13" i="12" s="1"/>
  <c r="R13" i="12"/>
  <c r="S13" i="12" s="1"/>
  <c r="T13" i="12" s="1"/>
  <c r="O13" i="12"/>
  <c r="P13" i="12" s="1"/>
  <c r="Q13" i="12" s="1"/>
  <c r="L13" i="12"/>
  <c r="M13" i="12" s="1"/>
  <c r="N13" i="12" s="1"/>
  <c r="I13" i="12"/>
  <c r="F13" i="12"/>
  <c r="AW13" i="12" s="1"/>
  <c r="AY13" i="12" s="1"/>
  <c r="C13" i="12"/>
  <c r="D13" i="12" s="1"/>
  <c r="E13" i="12" s="1"/>
  <c r="AP12" i="12"/>
  <c r="AJ12" i="12"/>
  <c r="AG12" i="12"/>
  <c r="AH12" i="12" s="1"/>
  <c r="AI12" i="12" s="1"/>
  <c r="AD12" i="12"/>
  <c r="AE12" i="12" s="1"/>
  <c r="AF12" i="12" s="1"/>
  <c r="AA12" i="12"/>
  <c r="AB12" i="12" s="1"/>
  <c r="AC12" i="12" s="1"/>
  <c r="X12" i="12"/>
  <c r="Y12" i="12" s="1"/>
  <c r="Z12" i="12" s="1"/>
  <c r="U12" i="12"/>
  <c r="V12" i="12" s="1"/>
  <c r="W12" i="12" s="1"/>
  <c r="R12" i="12"/>
  <c r="S12" i="12" s="1"/>
  <c r="T12" i="12" s="1"/>
  <c r="O12" i="12"/>
  <c r="P12" i="12" s="1"/>
  <c r="Q12" i="12" s="1"/>
  <c r="L12" i="12"/>
  <c r="M12" i="12" s="1"/>
  <c r="N12" i="12" s="1"/>
  <c r="I12" i="12"/>
  <c r="F12" i="12"/>
  <c r="C12" i="12"/>
  <c r="D12" i="12" s="1"/>
  <c r="E12" i="12" s="1"/>
  <c r="AP11" i="12"/>
  <c r="AJ11" i="12"/>
  <c r="AG11" i="12"/>
  <c r="AH11" i="12" s="1"/>
  <c r="AI11" i="12" s="1"/>
  <c r="AD11" i="12"/>
  <c r="AE11" i="12" s="1"/>
  <c r="AF11" i="12" s="1"/>
  <c r="AA11" i="12"/>
  <c r="AB11" i="12" s="1"/>
  <c r="AC11" i="12" s="1"/>
  <c r="X11" i="12"/>
  <c r="Y11" i="12" s="1"/>
  <c r="Z11" i="12" s="1"/>
  <c r="U11" i="12"/>
  <c r="V11" i="12" s="1"/>
  <c r="W11" i="12" s="1"/>
  <c r="S11" i="12"/>
  <c r="T11" i="12" s="1"/>
  <c r="P11" i="12"/>
  <c r="Q11" i="12" s="1"/>
  <c r="M11" i="12"/>
  <c r="N11" i="12" s="1"/>
  <c r="J11" i="12"/>
  <c r="K11" i="12" s="1"/>
  <c r="G11" i="12"/>
  <c r="H11" i="12" s="1"/>
  <c r="D11" i="12"/>
  <c r="E11" i="12" s="1"/>
  <c r="AP10" i="12"/>
  <c r="AJ10" i="12"/>
  <c r="AK10" i="12" s="1"/>
  <c r="AL10" i="12" s="1"/>
  <c r="AG10" i="12"/>
  <c r="AH10" i="12" s="1"/>
  <c r="AI10" i="12" s="1"/>
  <c r="AD10" i="12"/>
  <c r="AE10" i="12" s="1"/>
  <c r="AF10" i="12" s="1"/>
  <c r="AA10" i="12"/>
  <c r="AB10" i="12" s="1"/>
  <c r="AC10" i="12" s="1"/>
  <c r="X10" i="12"/>
  <c r="Y10" i="12" s="1"/>
  <c r="Z10" i="12" s="1"/>
  <c r="U10" i="12"/>
  <c r="V10" i="12" s="1"/>
  <c r="W10" i="12" s="1"/>
  <c r="R10" i="12"/>
  <c r="S10" i="12" s="1"/>
  <c r="T10" i="12" s="1"/>
  <c r="O10" i="12"/>
  <c r="P10" i="12" s="1"/>
  <c r="Q10" i="12" s="1"/>
  <c r="L10" i="12"/>
  <c r="M10" i="12" s="1"/>
  <c r="N10" i="12" s="1"/>
  <c r="I10" i="12"/>
  <c r="F10" i="12"/>
  <c r="C10" i="12"/>
  <c r="D10" i="12" s="1"/>
  <c r="E10" i="12" s="1"/>
  <c r="AP9" i="12"/>
  <c r="AJ9" i="12"/>
  <c r="AG9" i="12"/>
  <c r="AH9" i="12" s="1"/>
  <c r="AI9" i="12" s="1"/>
  <c r="AD9" i="12"/>
  <c r="AE9" i="12" s="1"/>
  <c r="AF9" i="12" s="1"/>
  <c r="AA9" i="12"/>
  <c r="AB9" i="12" s="1"/>
  <c r="AC9" i="12" s="1"/>
  <c r="X9" i="12"/>
  <c r="Y9" i="12" s="1"/>
  <c r="Z9" i="12" s="1"/>
  <c r="U9" i="12"/>
  <c r="V9" i="12" s="1"/>
  <c r="W9" i="12" s="1"/>
  <c r="R9" i="12"/>
  <c r="S9" i="12" s="1"/>
  <c r="T9" i="12" s="1"/>
  <c r="O9" i="12"/>
  <c r="P9" i="12" s="1"/>
  <c r="Q9" i="12" s="1"/>
  <c r="L9" i="12"/>
  <c r="M9" i="12" s="1"/>
  <c r="N9" i="12" s="1"/>
  <c r="I9" i="12"/>
  <c r="BA9" i="12" s="1"/>
  <c r="BC9" i="12" s="1"/>
  <c r="F9" i="12"/>
  <c r="C9" i="12"/>
  <c r="D9" i="12" s="1"/>
  <c r="E9" i="12" s="1"/>
  <c r="AP8" i="12"/>
  <c r="AJ8" i="12"/>
  <c r="AK8" i="12" s="1"/>
  <c r="AL8" i="12" s="1"/>
  <c r="AG8" i="12"/>
  <c r="AD8" i="12"/>
  <c r="AE8" i="12" s="1"/>
  <c r="AF8" i="12" s="1"/>
  <c r="AA8" i="12"/>
  <c r="AB8" i="12" s="1"/>
  <c r="AC8" i="12" s="1"/>
  <c r="X8" i="12"/>
  <c r="Y8" i="12" s="1"/>
  <c r="Z8" i="12" s="1"/>
  <c r="U8" i="12"/>
  <c r="V8" i="12" s="1"/>
  <c r="W8" i="12" s="1"/>
  <c r="R8" i="12"/>
  <c r="S8" i="12" s="1"/>
  <c r="T8" i="12" s="1"/>
  <c r="O8" i="12"/>
  <c r="P8" i="12" s="1"/>
  <c r="Q8" i="12" s="1"/>
  <c r="L8" i="12"/>
  <c r="M8" i="12" s="1"/>
  <c r="N8" i="12" s="1"/>
  <c r="I8" i="12"/>
  <c r="F8" i="12"/>
  <c r="C8" i="12"/>
  <c r="D8" i="12" s="1"/>
  <c r="E8" i="12" s="1"/>
  <c r="AP7" i="12"/>
  <c r="AJ7" i="12"/>
  <c r="AG7" i="12"/>
  <c r="AH7" i="12" s="1"/>
  <c r="AI7" i="12" s="1"/>
  <c r="AD7" i="12"/>
  <c r="AE7" i="12" s="1"/>
  <c r="AF7" i="12" s="1"/>
  <c r="AA7" i="12"/>
  <c r="AB7" i="12" s="1"/>
  <c r="AC7" i="12" s="1"/>
  <c r="X7" i="12"/>
  <c r="Y7" i="12" s="1"/>
  <c r="Z7" i="12" s="1"/>
  <c r="U7" i="12"/>
  <c r="V7" i="12" s="1"/>
  <c r="W7" i="12" s="1"/>
  <c r="R7" i="12"/>
  <c r="S7" i="12" s="1"/>
  <c r="T7" i="12" s="1"/>
  <c r="O7" i="12"/>
  <c r="P7" i="12" s="1"/>
  <c r="Q7" i="12" s="1"/>
  <c r="L7" i="12"/>
  <c r="M7" i="12" s="1"/>
  <c r="N7" i="12" s="1"/>
  <c r="I7" i="12"/>
  <c r="F7" i="12"/>
  <c r="AW7" i="12" s="1"/>
  <c r="AY7" i="12" s="1"/>
  <c r="C7" i="12"/>
  <c r="D7" i="12" s="1"/>
  <c r="E7" i="12" s="1"/>
  <c r="AP6" i="12"/>
  <c r="AJ6" i="12"/>
  <c r="AK6" i="12" s="1"/>
  <c r="AL6" i="12" s="1"/>
  <c r="AG6" i="12"/>
  <c r="AH6" i="12" s="1"/>
  <c r="AI6" i="12" s="1"/>
  <c r="AD6" i="12"/>
  <c r="AE6" i="12" s="1"/>
  <c r="AF6" i="12" s="1"/>
  <c r="AA6" i="12"/>
  <c r="AB6" i="12" s="1"/>
  <c r="AC6" i="12" s="1"/>
  <c r="X6" i="12"/>
  <c r="Y6" i="12" s="1"/>
  <c r="Z6" i="12" s="1"/>
  <c r="U6" i="12"/>
  <c r="V6" i="12" s="1"/>
  <c r="W6" i="12" s="1"/>
  <c r="R6" i="12"/>
  <c r="S6" i="12" s="1"/>
  <c r="T6" i="12" s="1"/>
  <c r="O6" i="12"/>
  <c r="P6" i="12" s="1"/>
  <c r="Q6" i="12" s="1"/>
  <c r="L6" i="12"/>
  <c r="M6" i="12" s="1"/>
  <c r="N6" i="12" s="1"/>
  <c r="I6" i="12"/>
  <c r="F6" i="12"/>
  <c r="C6" i="12"/>
  <c r="D6" i="12" s="1"/>
  <c r="E6" i="12" s="1"/>
  <c r="AP5" i="12"/>
  <c r="AJ5" i="12"/>
  <c r="AK5" i="12" s="1"/>
  <c r="AL5" i="12" s="1"/>
  <c r="AG5" i="12"/>
  <c r="AH5" i="12" s="1"/>
  <c r="AI5" i="12" s="1"/>
  <c r="AD5" i="12"/>
  <c r="AE5" i="12" s="1"/>
  <c r="AF5" i="12" s="1"/>
  <c r="AA5" i="12"/>
  <c r="AB5" i="12" s="1"/>
  <c r="AC5" i="12" s="1"/>
  <c r="X5" i="12"/>
  <c r="Y5" i="12" s="1"/>
  <c r="Z5" i="12" s="1"/>
  <c r="U5" i="12"/>
  <c r="V5" i="12" s="1"/>
  <c r="W5" i="12" s="1"/>
  <c r="R5" i="12"/>
  <c r="S5" i="12" s="1"/>
  <c r="T5" i="12" s="1"/>
  <c r="O5" i="12"/>
  <c r="P5" i="12" s="1"/>
  <c r="Q5" i="12" s="1"/>
  <c r="L5" i="12"/>
  <c r="M5" i="12" s="1"/>
  <c r="N5" i="12" s="1"/>
  <c r="I5" i="12"/>
  <c r="F5" i="12"/>
  <c r="C5" i="12"/>
  <c r="D5" i="12" s="1"/>
  <c r="E5" i="12" s="1"/>
  <c r="AP4" i="12"/>
  <c r="AJ4" i="12"/>
  <c r="AK4" i="12" s="1"/>
  <c r="AL4" i="12" s="1"/>
  <c r="AG4" i="12"/>
  <c r="AH4" i="12" s="1"/>
  <c r="AI4" i="12" s="1"/>
  <c r="AD4" i="12"/>
  <c r="AA4" i="12"/>
  <c r="AB4" i="12" s="1"/>
  <c r="AC4" i="12" s="1"/>
  <c r="X4" i="12"/>
  <c r="Y4" i="12" s="1"/>
  <c r="Z4" i="12" s="1"/>
  <c r="U4" i="12"/>
  <c r="V4" i="12" s="1"/>
  <c r="W4" i="12" s="1"/>
  <c r="R4" i="12"/>
  <c r="S4" i="12" s="1"/>
  <c r="T4" i="12" s="1"/>
  <c r="O4" i="12"/>
  <c r="P4" i="12" s="1"/>
  <c r="Q4" i="12" s="1"/>
  <c r="L4" i="12"/>
  <c r="M4" i="12" s="1"/>
  <c r="N4" i="12" s="1"/>
  <c r="I4" i="12"/>
  <c r="F4" i="12"/>
  <c r="C4" i="12"/>
  <c r="D4" i="12" s="1"/>
  <c r="E4" i="12" s="1"/>
  <c r="J68" i="12" l="1"/>
  <c r="K68" i="12" s="1"/>
  <c r="J9" i="12"/>
  <c r="K9" i="12" s="1"/>
  <c r="AV4" i="13"/>
  <c r="AV69" i="13"/>
  <c r="G50" i="12"/>
  <c r="H50" i="12" s="1"/>
  <c r="G37" i="12"/>
  <c r="H37" i="12" s="1"/>
  <c r="S13" i="13"/>
  <c r="T13" i="13" s="1"/>
  <c r="BI13" i="13"/>
  <c r="S27" i="13"/>
  <c r="BI27" i="13"/>
  <c r="S67" i="13"/>
  <c r="T67" i="13" s="1"/>
  <c r="BI67" i="13"/>
  <c r="S81" i="13"/>
  <c r="T81" i="13" s="1"/>
  <c r="BI81" i="13"/>
  <c r="S7" i="13"/>
  <c r="BI7" i="13"/>
  <c r="S4" i="13"/>
  <c r="T4" i="13" s="1"/>
  <c r="BI4" i="13"/>
  <c r="S24" i="13"/>
  <c r="T24" i="13" s="1"/>
  <c r="BI24" i="13"/>
  <c r="P33" i="13"/>
  <c r="M36" i="13"/>
  <c r="N36" i="13" s="1"/>
  <c r="S37" i="13"/>
  <c r="T37" i="13" s="1"/>
  <c r="BI37" i="13"/>
  <c r="S40" i="13"/>
  <c r="BI40" i="13"/>
  <c r="S43" i="13"/>
  <c r="T43" i="13" s="1"/>
  <c r="BI43" i="13"/>
  <c r="S46" i="13"/>
  <c r="T46" i="13" s="1"/>
  <c r="BI46" i="13"/>
  <c r="S49" i="13"/>
  <c r="T49" i="13" s="1"/>
  <c r="BI49" i="13"/>
  <c r="S64" i="13"/>
  <c r="T64" i="13" s="1"/>
  <c r="BI64" i="13"/>
  <c r="S84" i="13"/>
  <c r="T84" i="13" s="1"/>
  <c r="BI84" i="13"/>
  <c r="S87" i="13"/>
  <c r="T87" i="13" s="1"/>
  <c r="BI87" i="13"/>
  <c r="S93" i="13"/>
  <c r="T93" i="13" s="1"/>
  <c r="BI93" i="13"/>
  <c r="S9" i="13"/>
  <c r="T9" i="13" s="1"/>
  <c r="BI9" i="13"/>
  <c r="S12" i="13"/>
  <c r="T12" i="13" s="1"/>
  <c r="BI12" i="13"/>
  <c r="S15" i="13"/>
  <c r="BI15" i="13"/>
  <c r="S18" i="13"/>
  <c r="T18" i="13" s="1"/>
  <c r="BI18" i="13"/>
  <c r="S21" i="13"/>
  <c r="T21" i="13" s="1"/>
  <c r="BI21" i="13"/>
  <c r="S30" i="13"/>
  <c r="T30" i="13" s="1"/>
  <c r="BI30" i="13"/>
  <c r="S33" i="13"/>
  <c r="BI33" i="13"/>
  <c r="S55" i="13"/>
  <c r="T55" i="13" s="1"/>
  <c r="BI55" i="13"/>
  <c r="S58" i="13"/>
  <c r="BI58" i="13"/>
  <c r="S72" i="13"/>
  <c r="T72" i="13" s="1"/>
  <c r="BI72" i="13"/>
  <c r="S75" i="13"/>
  <c r="T75" i="13" s="1"/>
  <c r="BI75" i="13"/>
  <c r="S90" i="13"/>
  <c r="T90" i="13" s="1"/>
  <c r="BI90" i="13"/>
  <c r="S6" i="13"/>
  <c r="T6" i="13" s="1"/>
  <c r="BI6" i="13"/>
  <c r="S26" i="13"/>
  <c r="T26" i="13" s="1"/>
  <c r="BI26" i="13"/>
  <c r="S42" i="13"/>
  <c r="T42" i="13" s="1"/>
  <c r="BI42" i="13"/>
  <c r="S66" i="13"/>
  <c r="T66" i="13" s="1"/>
  <c r="BI66" i="13"/>
  <c r="S80" i="13"/>
  <c r="T80" i="13" s="1"/>
  <c r="BI80" i="13"/>
  <c r="S86" i="13"/>
  <c r="T86" i="13" s="1"/>
  <c r="BI86" i="13"/>
  <c r="S23" i="13"/>
  <c r="T23" i="13" s="1"/>
  <c r="BI23" i="13"/>
  <c r="S29" i="13"/>
  <c r="BI29" i="13"/>
  <c r="S32" i="13"/>
  <c r="T32" i="13" s="1"/>
  <c r="BI32" i="13"/>
  <c r="S35" i="13"/>
  <c r="T35" i="13" s="1"/>
  <c r="BI35" i="13"/>
  <c r="S39" i="13"/>
  <c r="T39" i="13" s="1"/>
  <c r="BI39" i="13"/>
  <c r="S45" i="13"/>
  <c r="T45" i="13" s="1"/>
  <c r="BI45" i="13"/>
  <c r="S48" i="13"/>
  <c r="T48" i="13" s="1"/>
  <c r="BI48" i="13"/>
  <c r="S51" i="13"/>
  <c r="T51" i="13" s="1"/>
  <c r="BI51" i="13"/>
  <c r="S63" i="13"/>
  <c r="BI63" i="13"/>
  <c r="S71" i="13"/>
  <c r="T71" i="13" s="1"/>
  <c r="BI71" i="13"/>
  <c r="S74" i="13"/>
  <c r="BI74" i="13"/>
  <c r="S77" i="13"/>
  <c r="T77" i="13" s="1"/>
  <c r="BI77" i="13"/>
  <c r="S89" i="13"/>
  <c r="T89" i="13" s="1"/>
  <c r="BI89" i="13"/>
  <c r="S92" i="13"/>
  <c r="T92" i="13" s="1"/>
  <c r="BI92" i="13"/>
  <c r="S14" i="13"/>
  <c r="BI14" i="13"/>
  <c r="S17" i="13"/>
  <c r="T17" i="13" s="1"/>
  <c r="BI17" i="13"/>
  <c r="S20" i="13"/>
  <c r="T20" i="13" s="1"/>
  <c r="BI20" i="13"/>
  <c r="S54" i="13"/>
  <c r="T54" i="13" s="1"/>
  <c r="BI54" i="13"/>
  <c r="S57" i="13"/>
  <c r="T57" i="13" s="1"/>
  <c r="BI57" i="13"/>
  <c r="S60" i="13"/>
  <c r="T60" i="13" s="1"/>
  <c r="BI60" i="13"/>
  <c r="S68" i="13"/>
  <c r="BI68" i="13"/>
  <c r="S79" i="13"/>
  <c r="T79" i="13" s="1"/>
  <c r="BI79" i="13"/>
  <c r="S8" i="13"/>
  <c r="T8" i="13" s="1"/>
  <c r="BI8" i="13"/>
  <c r="S5" i="13"/>
  <c r="BI5" i="13"/>
  <c r="S25" i="13"/>
  <c r="T25" i="13" s="1"/>
  <c r="BI25" i="13"/>
  <c r="S38" i="13"/>
  <c r="T38" i="13" s="1"/>
  <c r="BI38" i="13"/>
  <c r="S41" i="13"/>
  <c r="T41" i="13" s="1"/>
  <c r="BI41" i="13"/>
  <c r="S44" i="13"/>
  <c r="T44" i="13" s="1"/>
  <c r="BI44" i="13"/>
  <c r="S50" i="13"/>
  <c r="T50" i="13" s="1"/>
  <c r="BI50" i="13"/>
  <c r="S65" i="13"/>
  <c r="T65" i="13" s="1"/>
  <c r="BI65" i="13"/>
  <c r="P70" i="13"/>
  <c r="Q70" i="13" s="1"/>
  <c r="S85" i="13"/>
  <c r="T85" i="13" s="1"/>
  <c r="BI85" i="13"/>
  <c r="S10" i="13"/>
  <c r="T10" i="13" s="1"/>
  <c r="BI10" i="13"/>
  <c r="S16" i="13"/>
  <c r="T16" i="13" s="1"/>
  <c r="BI16" i="13"/>
  <c r="S19" i="13"/>
  <c r="T19" i="13" s="1"/>
  <c r="BI19" i="13"/>
  <c r="S22" i="13"/>
  <c r="T22" i="13" s="1"/>
  <c r="BI22" i="13"/>
  <c r="S28" i="13"/>
  <c r="T28" i="13" s="1"/>
  <c r="BI28" i="13"/>
  <c r="S31" i="13"/>
  <c r="T31" i="13" s="1"/>
  <c r="BI31" i="13"/>
  <c r="S34" i="13"/>
  <c r="T34" i="13" s="1"/>
  <c r="BI34" i="13"/>
  <c r="S47" i="13"/>
  <c r="T47" i="13" s="1"/>
  <c r="BI47" i="13"/>
  <c r="S53" i="13"/>
  <c r="T53" i="13" s="1"/>
  <c r="BI53" i="13"/>
  <c r="S59" i="13"/>
  <c r="T59" i="13" s="1"/>
  <c r="BI59" i="13"/>
  <c r="S62" i="13"/>
  <c r="T62" i="13" s="1"/>
  <c r="BI62" i="13"/>
  <c r="S70" i="13"/>
  <c r="T70" i="13" s="1"/>
  <c r="BI70" i="13"/>
  <c r="S73" i="13"/>
  <c r="T73" i="13" s="1"/>
  <c r="BI73" i="13"/>
  <c r="S76" i="13"/>
  <c r="T76" i="13" s="1"/>
  <c r="BI76" i="13"/>
  <c r="S88" i="13"/>
  <c r="T88" i="13" s="1"/>
  <c r="BI88" i="13"/>
  <c r="S91" i="13"/>
  <c r="T91" i="13" s="1"/>
  <c r="BI91" i="13"/>
  <c r="P10" i="13"/>
  <c r="Q10" i="13" s="1"/>
  <c r="BE10" i="13"/>
  <c r="P14" i="13"/>
  <c r="BE14" i="13"/>
  <c r="P17" i="13"/>
  <c r="Q17" i="13" s="1"/>
  <c r="BE17" i="13"/>
  <c r="P20" i="13"/>
  <c r="Q20" i="13" s="1"/>
  <c r="BE20" i="13"/>
  <c r="P27" i="13"/>
  <c r="BE27" i="13"/>
  <c r="P53" i="13"/>
  <c r="Q53" i="13" s="1"/>
  <c r="BE53" i="13"/>
  <c r="P60" i="13"/>
  <c r="Q60" i="13" s="1"/>
  <c r="BE60" i="13"/>
  <c r="P63" i="13"/>
  <c r="P72" i="13"/>
  <c r="Q72" i="13" s="1"/>
  <c r="BE72" i="13"/>
  <c r="P75" i="13"/>
  <c r="Q75" i="13" s="1"/>
  <c r="BE75" i="13"/>
  <c r="P87" i="13"/>
  <c r="Q87" i="13" s="1"/>
  <c r="BE87" i="13"/>
  <c r="P93" i="13"/>
  <c r="Q93" i="13" s="1"/>
  <c r="BE93" i="13"/>
  <c r="P7" i="13"/>
  <c r="BE7" i="13"/>
  <c r="P39" i="13"/>
  <c r="Q39" i="13" s="1"/>
  <c r="AS39" i="13" s="1"/>
  <c r="AT39" i="13" s="1"/>
  <c r="BE39" i="13"/>
  <c r="P42" i="13"/>
  <c r="Q42" i="13" s="1"/>
  <c r="BE42" i="13"/>
  <c r="M52" i="13"/>
  <c r="N52" i="13" s="1"/>
  <c r="P66" i="13"/>
  <c r="Q66" i="13" s="1"/>
  <c r="BE66" i="13"/>
  <c r="P90" i="13"/>
  <c r="Q90" i="13" s="1"/>
  <c r="BE90" i="13"/>
  <c r="P4" i="13"/>
  <c r="Q4" i="13" s="1"/>
  <c r="BE4" i="13"/>
  <c r="P13" i="13"/>
  <c r="Q13" i="13" s="1"/>
  <c r="BE13" i="13"/>
  <c r="P16" i="13"/>
  <c r="Q16" i="13" s="1"/>
  <c r="BE16" i="13"/>
  <c r="P19" i="13"/>
  <c r="Q19" i="13" s="1"/>
  <c r="BE19" i="13"/>
  <c r="P22" i="13"/>
  <c r="Q22" i="13" s="1"/>
  <c r="BE22" i="13"/>
  <c r="P26" i="13"/>
  <c r="Q26" i="13" s="1"/>
  <c r="BE26" i="13"/>
  <c r="P31" i="13"/>
  <c r="Q31" i="13" s="1"/>
  <c r="BE31" i="13"/>
  <c r="P34" i="13"/>
  <c r="Q34" i="13" s="1"/>
  <c r="BE34" i="13"/>
  <c r="P38" i="13"/>
  <c r="Q38" i="13" s="1"/>
  <c r="BE38" i="13"/>
  <c r="P45" i="13"/>
  <c r="Q45" i="13" s="1"/>
  <c r="BE45" i="13"/>
  <c r="P48" i="13"/>
  <c r="Q48" i="13" s="1"/>
  <c r="BE48" i="13"/>
  <c r="P52" i="13"/>
  <c r="Q52" i="13" s="1"/>
  <c r="BE52" i="13"/>
  <c r="P59" i="13"/>
  <c r="Q59" i="13" s="1"/>
  <c r="P62" i="13"/>
  <c r="Q62" i="13" s="1"/>
  <c r="BE62" i="13"/>
  <c r="P71" i="13"/>
  <c r="Q71" i="13" s="1"/>
  <c r="BE71" i="13"/>
  <c r="P74" i="13"/>
  <c r="BE74" i="13"/>
  <c r="P77" i="13"/>
  <c r="Q77" i="13" s="1"/>
  <c r="BE77" i="13"/>
  <c r="P86" i="13"/>
  <c r="Q86" i="13" s="1"/>
  <c r="BE86" i="13"/>
  <c r="P9" i="13"/>
  <c r="Q9" i="13" s="1"/>
  <c r="BE9" i="13"/>
  <c r="P51" i="13"/>
  <c r="Q51" i="13" s="1"/>
  <c r="BE51" i="13"/>
  <c r="P55" i="13"/>
  <c r="Q55" i="13" s="1"/>
  <c r="BE55" i="13"/>
  <c r="P58" i="13"/>
  <c r="BE58" i="13"/>
  <c r="P68" i="13"/>
  <c r="BE68" i="13"/>
  <c r="P79" i="13"/>
  <c r="Q79" i="13" s="1"/>
  <c r="BE79" i="13"/>
  <c r="P89" i="13"/>
  <c r="Q89" i="13" s="1"/>
  <c r="BE89" i="13"/>
  <c r="P92" i="13"/>
  <c r="Q92" i="13" s="1"/>
  <c r="BE92" i="13"/>
  <c r="P6" i="13"/>
  <c r="Q6" i="13" s="1"/>
  <c r="BE6" i="13"/>
  <c r="P12" i="13"/>
  <c r="Q12" i="13" s="1"/>
  <c r="BE12" i="13"/>
  <c r="P25" i="13"/>
  <c r="Q25" i="13" s="1"/>
  <c r="BE25" i="13"/>
  <c r="M37" i="13"/>
  <c r="N37" i="13" s="1"/>
  <c r="P41" i="13"/>
  <c r="Q41" i="13" s="1"/>
  <c r="BE41" i="13"/>
  <c r="P44" i="13"/>
  <c r="Q44" i="13" s="1"/>
  <c r="BE44" i="13"/>
  <c r="P65" i="13"/>
  <c r="Q65" i="13" s="1"/>
  <c r="BE65" i="13"/>
  <c r="M85" i="13"/>
  <c r="N85" i="13" s="1"/>
  <c r="P15" i="13"/>
  <c r="BE15" i="13"/>
  <c r="P18" i="13"/>
  <c r="Q18" i="13" s="1"/>
  <c r="BE18" i="13"/>
  <c r="P21" i="13"/>
  <c r="Q21" i="13" s="1"/>
  <c r="BE21" i="13"/>
  <c r="P24" i="13"/>
  <c r="Q24" i="13" s="1"/>
  <c r="BE24" i="13"/>
  <c r="P30" i="13"/>
  <c r="Q30" i="13" s="1"/>
  <c r="BE30" i="13"/>
  <c r="P37" i="13"/>
  <c r="Q37" i="13" s="1"/>
  <c r="BE37" i="13"/>
  <c r="P47" i="13"/>
  <c r="Q47" i="13" s="1"/>
  <c r="BE47" i="13"/>
  <c r="P50" i="13"/>
  <c r="Q50" i="13" s="1"/>
  <c r="BE50" i="13"/>
  <c r="P61" i="13"/>
  <c r="Q61" i="13" s="1"/>
  <c r="BE61" i="13"/>
  <c r="P64" i="13"/>
  <c r="Q64" i="13" s="1"/>
  <c r="BE64" i="13"/>
  <c r="P73" i="13"/>
  <c r="Q73" i="13" s="1"/>
  <c r="BE73" i="13"/>
  <c r="P76" i="13"/>
  <c r="Q76" i="13" s="1"/>
  <c r="BE76" i="13"/>
  <c r="P85" i="13"/>
  <c r="Q85" i="13" s="1"/>
  <c r="BE85" i="13"/>
  <c r="P8" i="13"/>
  <c r="Q8" i="13" s="1"/>
  <c r="BE8" i="13"/>
  <c r="P29" i="13"/>
  <c r="BE29" i="13"/>
  <c r="P36" i="13"/>
  <c r="Q36" i="13" s="1"/>
  <c r="BE36" i="13"/>
  <c r="P54" i="13"/>
  <c r="Q54" i="13" s="1"/>
  <c r="BE54" i="13"/>
  <c r="P57" i="13"/>
  <c r="Q57" i="13" s="1"/>
  <c r="BE57" i="13"/>
  <c r="P67" i="13"/>
  <c r="Q67" i="13" s="1"/>
  <c r="BE67" i="13"/>
  <c r="P88" i="13"/>
  <c r="Q88" i="13" s="1"/>
  <c r="BE88" i="13"/>
  <c r="P91" i="13"/>
  <c r="Q91" i="13" s="1"/>
  <c r="BE91" i="13"/>
  <c r="P5" i="13"/>
  <c r="BE5" i="13"/>
  <c r="M14" i="13"/>
  <c r="P23" i="13"/>
  <c r="Q23" i="13" s="1"/>
  <c r="BE23" i="13"/>
  <c r="P28" i="13"/>
  <c r="Q28" i="13" s="1"/>
  <c r="BE28" i="13"/>
  <c r="P32" i="13"/>
  <c r="Q32" i="13" s="1"/>
  <c r="BE32" i="13"/>
  <c r="P35" i="13"/>
  <c r="Q35" i="13" s="1"/>
  <c r="BE35" i="13"/>
  <c r="P40" i="13"/>
  <c r="BE40" i="13"/>
  <c r="P43" i="13"/>
  <c r="Q43" i="13" s="1"/>
  <c r="BE43" i="13"/>
  <c r="P46" i="13"/>
  <c r="Q46" i="13" s="1"/>
  <c r="BE46" i="13"/>
  <c r="P49" i="13"/>
  <c r="Q49" i="13" s="1"/>
  <c r="BE49" i="13"/>
  <c r="P84" i="13"/>
  <c r="Q84" i="13" s="1"/>
  <c r="BE84" i="13"/>
  <c r="M19" i="13"/>
  <c r="N19" i="13" s="1"/>
  <c r="M50" i="13"/>
  <c r="N50" i="13" s="1"/>
  <c r="AS50" i="13" s="1"/>
  <c r="AT50" i="13" s="1"/>
  <c r="M13" i="13"/>
  <c r="N13" i="13" s="1"/>
  <c r="AM52" i="13"/>
  <c r="AU52" i="13" s="1"/>
  <c r="G13" i="12"/>
  <c r="H13" i="12" s="1"/>
  <c r="M18" i="13"/>
  <c r="N18" i="13" s="1"/>
  <c r="BA18" i="13"/>
  <c r="M20" i="13"/>
  <c r="N20" i="13" s="1"/>
  <c r="BA20" i="13"/>
  <c r="M44" i="13"/>
  <c r="N44" i="13" s="1"/>
  <c r="BA44" i="13"/>
  <c r="M55" i="13"/>
  <c r="N55" i="13" s="1"/>
  <c r="BA55" i="13"/>
  <c r="M7" i="13"/>
  <c r="BA7" i="13"/>
  <c r="M43" i="13"/>
  <c r="N43" i="13" s="1"/>
  <c r="BA43" i="13"/>
  <c r="AM55" i="13"/>
  <c r="AU55" i="13" s="1"/>
  <c r="M88" i="13"/>
  <c r="N88" i="13" s="1"/>
  <c r="BA88" i="13"/>
  <c r="M90" i="13"/>
  <c r="N90" i="13" s="1"/>
  <c r="BA90" i="13"/>
  <c r="M6" i="13"/>
  <c r="N6" i="13" s="1"/>
  <c r="BA6" i="13"/>
  <c r="M16" i="13"/>
  <c r="N16" i="13" s="1"/>
  <c r="M17" i="13"/>
  <c r="N17" i="13" s="1"/>
  <c r="BA17" i="13"/>
  <c r="M42" i="13"/>
  <c r="N42" i="13" s="1"/>
  <c r="BA42" i="13"/>
  <c r="M54" i="13"/>
  <c r="N54" i="13" s="1"/>
  <c r="BA54" i="13"/>
  <c r="AM56" i="13"/>
  <c r="AN56" i="13" s="1"/>
  <c r="M62" i="13"/>
  <c r="N62" i="13" s="1"/>
  <c r="M63" i="13"/>
  <c r="BA63" i="13"/>
  <c r="M73" i="13"/>
  <c r="N73" i="13" s="1"/>
  <c r="BA73" i="13"/>
  <c r="M74" i="13"/>
  <c r="BA74" i="13"/>
  <c r="M76" i="13"/>
  <c r="N76" i="13" s="1"/>
  <c r="BA76" i="13"/>
  <c r="M84" i="13"/>
  <c r="N84" i="13" s="1"/>
  <c r="BA84" i="13"/>
  <c r="M89" i="13"/>
  <c r="N89" i="13" s="1"/>
  <c r="M92" i="13"/>
  <c r="N92" i="13" s="1"/>
  <c r="BA92" i="13"/>
  <c r="M33" i="13"/>
  <c r="BA33" i="13"/>
  <c r="M34" i="13"/>
  <c r="N34" i="13" s="1"/>
  <c r="BA34" i="13"/>
  <c r="M35" i="13"/>
  <c r="N35" i="13" s="1"/>
  <c r="BA35" i="13"/>
  <c r="M53" i="13"/>
  <c r="N53" i="13" s="1"/>
  <c r="BA53" i="13"/>
  <c r="M71" i="13"/>
  <c r="N71" i="13" s="1"/>
  <c r="BA71" i="13"/>
  <c r="M72" i="13"/>
  <c r="N72" i="13" s="1"/>
  <c r="BA72" i="13"/>
  <c r="M75" i="13"/>
  <c r="N75" i="13" s="1"/>
  <c r="BA75" i="13"/>
  <c r="M77" i="13"/>
  <c r="N77" i="13" s="1"/>
  <c r="BA77" i="13"/>
  <c r="M91" i="13"/>
  <c r="N91" i="13" s="1"/>
  <c r="BA91" i="13"/>
  <c r="M15" i="13"/>
  <c r="BA15" i="13"/>
  <c r="M22" i="13"/>
  <c r="N22" i="13" s="1"/>
  <c r="BA22" i="13"/>
  <c r="M27" i="13"/>
  <c r="BA27" i="13"/>
  <c r="M41" i="13"/>
  <c r="N41" i="13" s="1"/>
  <c r="BA41" i="13"/>
  <c r="M61" i="13"/>
  <c r="N61" i="13" s="1"/>
  <c r="BA61" i="13"/>
  <c r="M64" i="13"/>
  <c r="N64" i="13" s="1"/>
  <c r="BA64" i="13"/>
  <c r="M70" i="13"/>
  <c r="N70" i="13" s="1"/>
  <c r="BA70" i="13"/>
  <c r="M4" i="13"/>
  <c r="N4" i="13" s="1"/>
  <c r="BA4" i="13"/>
  <c r="M23" i="13"/>
  <c r="N23" i="13" s="1"/>
  <c r="BA23" i="13"/>
  <c r="M24" i="13"/>
  <c r="N24" i="13" s="1"/>
  <c r="BA24" i="13"/>
  <c r="M26" i="13"/>
  <c r="N26" i="13" s="1"/>
  <c r="BA26" i="13"/>
  <c r="M32" i="13"/>
  <c r="N32" i="13" s="1"/>
  <c r="BA32" i="13"/>
  <c r="M49" i="13"/>
  <c r="N49" i="13" s="1"/>
  <c r="BA49" i="13"/>
  <c r="M65" i="13"/>
  <c r="N65" i="13" s="1"/>
  <c r="AM65" i="13"/>
  <c r="AU65" i="13" s="1"/>
  <c r="M66" i="13"/>
  <c r="N66" i="13" s="1"/>
  <c r="M79" i="13"/>
  <c r="N79" i="13" s="1"/>
  <c r="M86" i="13"/>
  <c r="N86" i="13" s="1"/>
  <c r="BA86" i="13"/>
  <c r="M8" i="13"/>
  <c r="N8" i="13" s="1"/>
  <c r="BA8" i="13"/>
  <c r="M12" i="13"/>
  <c r="N12" i="13" s="1"/>
  <c r="BA12" i="13"/>
  <c r="M21" i="13"/>
  <c r="N21" i="13" s="1"/>
  <c r="BA21" i="13"/>
  <c r="M31" i="13"/>
  <c r="N31" i="13" s="1"/>
  <c r="BA31" i="13"/>
  <c r="M38" i="13"/>
  <c r="N38" i="13" s="1"/>
  <c r="BA38" i="13"/>
  <c r="M40" i="13"/>
  <c r="BA40" i="13"/>
  <c r="M46" i="13"/>
  <c r="N46" i="13" s="1"/>
  <c r="BA46" i="13"/>
  <c r="M48" i="13"/>
  <c r="N48" i="13" s="1"/>
  <c r="BA48" i="13"/>
  <c r="M59" i="13"/>
  <c r="N59" i="13" s="1"/>
  <c r="BA59" i="13"/>
  <c r="M60" i="13"/>
  <c r="N60" i="13" s="1"/>
  <c r="BA60" i="13"/>
  <c r="M67" i="13"/>
  <c r="N67" i="13" s="1"/>
  <c r="BA67" i="13"/>
  <c r="M68" i="13"/>
  <c r="BA68" i="13"/>
  <c r="M5" i="13"/>
  <c r="BA5" i="13"/>
  <c r="M10" i="13"/>
  <c r="N10" i="13" s="1"/>
  <c r="BA10" i="13"/>
  <c r="M9" i="13"/>
  <c r="N9" i="13" s="1"/>
  <c r="BA9" i="13"/>
  <c r="M28" i="13"/>
  <c r="N28" i="13" s="1"/>
  <c r="BA28" i="13"/>
  <c r="M29" i="13"/>
  <c r="BA29" i="13"/>
  <c r="M30" i="13"/>
  <c r="N30" i="13" s="1"/>
  <c r="BA30" i="13"/>
  <c r="M45" i="13"/>
  <c r="N45" i="13" s="1"/>
  <c r="BA45" i="13"/>
  <c r="M51" i="13"/>
  <c r="N51" i="13" s="1"/>
  <c r="BA51" i="13"/>
  <c r="M57" i="13"/>
  <c r="N57" i="13" s="1"/>
  <c r="BA57" i="13"/>
  <c r="M58" i="13"/>
  <c r="BA58" i="13"/>
  <c r="M93" i="13"/>
  <c r="N93" i="13" s="1"/>
  <c r="BA93" i="13"/>
  <c r="AM13" i="13"/>
  <c r="AU13" i="13" s="1"/>
  <c r="AM18" i="13"/>
  <c r="AU18" i="13" s="1"/>
  <c r="AM38" i="13"/>
  <c r="AU38" i="13" s="1"/>
  <c r="AJ94" i="13"/>
  <c r="AM94" i="13" s="1"/>
  <c r="AM6" i="13"/>
  <c r="AU6" i="13" s="1"/>
  <c r="AM42" i="13"/>
  <c r="AU42" i="13" s="1"/>
  <c r="AM17" i="13"/>
  <c r="AU17" i="13" s="1"/>
  <c r="AM10" i="13"/>
  <c r="AU10" i="13" s="1"/>
  <c r="AM11" i="13"/>
  <c r="AM5" i="13"/>
  <c r="AU5" i="13" s="1"/>
  <c r="AM15" i="13"/>
  <c r="AU15" i="13" s="1"/>
  <c r="AM8" i="13"/>
  <c r="AU8" i="13" s="1"/>
  <c r="AM33" i="13"/>
  <c r="AU33" i="13" s="1"/>
  <c r="AM16" i="13"/>
  <c r="AU16" i="13" s="1"/>
  <c r="AK16" i="13"/>
  <c r="AL16" i="13" s="1"/>
  <c r="AM19" i="13"/>
  <c r="AU19" i="13" s="1"/>
  <c r="AM21" i="13"/>
  <c r="AU21" i="13" s="1"/>
  <c r="AM41" i="13"/>
  <c r="AU41" i="13" s="1"/>
  <c r="AM44" i="13"/>
  <c r="AU44" i="13" s="1"/>
  <c r="AM54" i="13"/>
  <c r="AU54" i="13" s="1"/>
  <c r="AM57" i="13"/>
  <c r="AU57" i="13" s="1"/>
  <c r="AM59" i="13"/>
  <c r="AU59" i="13" s="1"/>
  <c r="AM67" i="13"/>
  <c r="AU67" i="13" s="1"/>
  <c r="AM78" i="13"/>
  <c r="AO78" i="13" s="1"/>
  <c r="AM82" i="13"/>
  <c r="AN82" i="13" s="1"/>
  <c r="AO82" i="13" s="1"/>
  <c r="V82" i="13" s="1"/>
  <c r="AM87" i="13"/>
  <c r="AU87" i="13" s="1"/>
  <c r="AM39" i="13"/>
  <c r="AU39" i="13" s="1"/>
  <c r="AM40" i="13"/>
  <c r="AU40" i="13" s="1"/>
  <c r="AM76" i="13"/>
  <c r="AU76" i="13" s="1"/>
  <c r="AM84" i="13"/>
  <c r="AU84" i="13" s="1"/>
  <c r="AM125" i="13"/>
  <c r="AM37" i="13"/>
  <c r="AU37" i="13" s="1"/>
  <c r="AM73" i="13"/>
  <c r="AU73" i="13" s="1"/>
  <c r="AM80" i="13"/>
  <c r="AU80" i="13" s="1"/>
  <c r="AH84" i="13"/>
  <c r="AI84" i="13" s="1"/>
  <c r="AM85" i="13"/>
  <c r="AU85" i="13" s="1"/>
  <c r="AM92" i="13"/>
  <c r="AU92" i="13" s="1"/>
  <c r="AM32" i="13"/>
  <c r="AU32" i="13" s="1"/>
  <c r="AM36" i="13"/>
  <c r="AU36" i="13" s="1"/>
  <c r="AM60" i="13"/>
  <c r="AU60" i="13" s="1"/>
  <c r="AM66" i="13"/>
  <c r="AU66" i="13" s="1"/>
  <c r="AM79" i="13"/>
  <c r="AU79" i="13" s="1"/>
  <c r="AM91" i="13"/>
  <c r="AU91" i="13" s="1"/>
  <c r="AM31" i="13"/>
  <c r="AU31" i="13" s="1"/>
  <c r="AK36" i="13"/>
  <c r="AL36" i="13" s="1"/>
  <c r="AM53" i="13"/>
  <c r="AU53" i="13" s="1"/>
  <c r="AM61" i="13"/>
  <c r="AU61" i="13" s="1"/>
  <c r="AK66" i="13"/>
  <c r="AL66" i="13" s="1"/>
  <c r="AM69" i="13"/>
  <c r="AO69" i="13" s="1"/>
  <c r="AB69" i="13" s="1"/>
  <c r="AC69" i="13" s="1"/>
  <c r="AH79" i="13"/>
  <c r="AI79" i="13" s="1"/>
  <c r="AM81" i="13"/>
  <c r="AU81" i="13" s="1"/>
  <c r="AM83" i="13"/>
  <c r="AM86" i="13"/>
  <c r="AU86" i="13" s="1"/>
  <c r="AM90" i="13"/>
  <c r="AU90" i="13" s="1"/>
  <c r="AM62" i="13"/>
  <c r="AU62" i="13" s="1"/>
  <c r="V81" i="13"/>
  <c r="W81" i="13" s="1"/>
  <c r="Y83" i="13"/>
  <c r="Z83" i="13" s="1"/>
  <c r="AS83" i="13" s="1"/>
  <c r="AT83" i="13" s="1"/>
  <c r="AK90" i="13"/>
  <c r="AL90" i="13" s="1"/>
  <c r="AM43" i="13"/>
  <c r="AU43" i="13" s="1"/>
  <c r="AM68" i="13"/>
  <c r="AU68" i="13" s="1"/>
  <c r="J4" i="12"/>
  <c r="K4" i="12" s="1"/>
  <c r="BA4" i="12"/>
  <c r="BC4" i="12" s="1"/>
  <c r="J13" i="12"/>
  <c r="K13" i="12" s="1"/>
  <c r="BA13" i="12"/>
  <c r="BC13" i="12" s="1"/>
  <c r="J12" i="12"/>
  <c r="K12" i="12" s="1"/>
  <c r="BA12" i="12"/>
  <c r="BC12" i="12" s="1"/>
  <c r="J16" i="12"/>
  <c r="K16" i="12" s="1"/>
  <c r="BA16" i="12"/>
  <c r="BC16" i="12" s="1"/>
  <c r="J20" i="12"/>
  <c r="K20" i="12" s="1"/>
  <c r="BA20" i="12"/>
  <c r="BC20" i="12" s="1"/>
  <c r="J21" i="12"/>
  <c r="K21" i="12" s="1"/>
  <c r="BA21" i="12"/>
  <c r="BC21" i="12" s="1"/>
  <c r="G33" i="12"/>
  <c r="H33" i="12" s="1"/>
  <c r="J43" i="12"/>
  <c r="K43" i="12" s="1"/>
  <c r="J55" i="12"/>
  <c r="K55" i="12" s="1"/>
  <c r="BA55" i="12"/>
  <c r="BC55" i="12" s="1"/>
  <c r="J59" i="12"/>
  <c r="K59" i="12" s="1"/>
  <c r="BA59" i="12"/>
  <c r="BC59" i="12" s="1"/>
  <c r="G66" i="12"/>
  <c r="H66" i="12" s="1"/>
  <c r="J71" i="12"/>
  <c r="K71" i="12" s="1"/>
  <c r="BA71" i="12"/>
  <c r="BC71" i="12" s="1"/>
  <c r="J74" i="12"/>
  <c r="K74" i="12" s="1"/>
  <c r="BA74" i="12"/>
  <c r="BC74" i="12" s="1"/>
  <c r="J5" i="12"/>
  <c r="K5" i="12" s="1"/>
  <c r="BA5" i="12"/>
  <c r="BC5" i="12" s="1"/>
  <c r="J15" i="12"/>
  <c r="K15" i="12" s="1"/>
  <c r="BA15" i="12"/>
  <c r="BC15" i="12" s="1"/>
  <c r="J33" i="12"/>
  <c r="K33" i="12" s="1"/>
  <c r="BA33" i="12"/>
  <c r="BC33" i="12" s="1"/>
  <c r="J44" i="12"/>
  <c r="K44" i="12" s="1"/>
  <c r="BA44" i="12"/>
  <c r="BC44" i="12" s="1"/>
  <c r="J45" i="12"/>
  <c r="K45" i="12" s="1"/>
  <c r="BA45" i="12"/>
  <c r="BC45" i="12" s="1"/>
  <c r="J54" i="12"/>
  <c r="K54" i="12" s="1"/>
  <c r="BA54" i="12"/>
  <c r="BC54" i="12" s="1"/>
  <c r="J64" i="12"/>
  <c r="K64" i="12" s="1"/>
  <c r="BA64" i="12"/>
  <c r="BC64" i="12" s="1"/>
  <c r="J66" i="12"/>
  <c r="K66" i="12" s="1"/>
  <c r="BA66" i="12"/>
  <c r="BC66" i="12" s="1"/>
  <c r="J85" i="12"/>
  <c r="K85" i="12" s="1"/>
  <c r="BA85" i="12"/>
  <c r="BC85" i="12" s="1"/>
  <c r="J88" i="12"/>
  <c r="K88" i="12" s="1"/>
  <c r="BA88" i="12"/>
  <c r="BC88" i="12" s="1"/>
  <c r="J91" i="12"/>
  <c r="K91" i="12" s="1"/>
  <c r="BA91" i="12"/>
  <c r="BC91" i="12" s="1"/>
  <c r="J28" i="12"/>
  <c r="K28" i="12" s="1"/>
  <c r="BA28" i="12"/>
  <c r="BC28" i="12" s="1"/>
  <c r="J32" i="12"/>
  <c r="K32" i="12" s="1"/>
  <c r="BA32" i="12"/>
  <c r="BC32" i="12" s="1"/>
  <c r="J39" i="12"/>
  <c r="K39" i="12" s="1"/>
  <c r="BA39" i="12"/>
  <c r="BC39" i="12" s="1"/>
  <c r="J40" i="12"/>
  <c r="K40" i="12" s="1"/>
  <c r="BA40" i="12"/>
  <c r="BC40" i="12" s="1"/>
  <c r="J46" i="12"/>
  <c r="K46" i="12" s="1"/>
  <c r="BA46" i="12"/>
  <c r="BC46" i="12" s="1"/>
  <c r="J50" i="12"/>
  <c r="K50" i="12" s="1"/>
  <c r="AS50" i="12" s="1"/>
  <c r="AT50" i="12" s="1"/>
  <c r="BA50" i="12"/>
  <c r="BC50" i="12" s="1"/>
  <c r="J65" i="12"/>
  <c r="K65" i="12" s="1"/>
  <c r="BA65" i="12"/>
  <c r="BC65" i="12" s="1"/>
  <c r="J70" i="12"/>
  <c r="K70" i="12" s="1"/>
  <c r="BA70" i="12"/>
  <c r="BC70" i="12" s="1"/>
  <c r="J8" i="12"/>
  <c r="K8" i="12" s="1"/>
  <c r="BA8" i="12"/>
  <c r="BC8" i="12" s="1"/>
  <c r="G7" i="12"/>
  <c r="H7" i="12" s="1"/>
  <c r="J14" i="12"/>
  <c r="K14" i="12" s="1"/>
  <c r="BA14" i="12"/>
  <c r="BC14" i="12" s="1"/>
  <c r="J19" i="12"/>
  <c r="K19" i="12" s="1"/>
  <c r="BA19" i="12"/>
  <c r="BC19" i="12" s="1"/>
  <c r="J24" i="12"/>
  <c r="K24" i="12" s="1"/>
  <c r="BA24" i="12"/>
  <c r="BC24" i="12" s="1"/>
  <c r="J26" i="12"/>
  <c r="K26" i="12" s="1"/>
  <c r="BA26" i="12"/>
  <c r="BC26" i="12" s="1"/>
  <c r="J27" i="12"/>
  <c r="K27" i="12" s="1"/>
  <c r="BA27" i="12"/>
  <c r="BC27" i="12" s="1"/>
  <c r="G51" i="12"/>
  <c r="H51" i="12" s="1"/>
  <c r="J52" i="12"/>
  <c r="K52" i="12" s="1"/>
  <c r="BA52" i="12"/>
  <c r="BC52" i="12" s="1"/>
  <c r="G53" i="12"/>
  <c r="H53" i="12" s="1"/>
  <c r="J58" i="12"/>
  <c r="K58" i="12" s="1"/>
  <c r="BA58" i="12"/>
  <c r="BC58" i="12" s="1"/>
  <c r="J61" i="12"/>
  <c r="K61" i="12" s="1"/>
  <c r="BA61" i="12"/>
  <c r="BC61" i="12" s="1"/>
  <c r="G62" i="12"/>
  <c r="H62" i="12" s="1"/>
  <c r="J63" i="12"/>
  <c r="K63" i="12" s="1"/>
  <c r="BA63" i="12"/>
  <c r="BC63" i="12" s="1"/>
  <c r="J73" i="12"/>
  <c r="K73" i="12" s="1"/>
  <c r="BA73" i="12"/>
  <c r="BC73" i="12" s="1"/>
  <c r="J77" i="12"/>
  <c r="K77" i="12" s="1"/>
  <c r="BA77" i="12"/>
  <c r="BC77" i="12" s="1"/>
  <c r="J87" i="12"/>
  <c r="K87" i="12" s="1"/>
  <c r="BA87" i="12"/>
  <c r="BC87" i="12" s="1"/>
  <c r="J90" i="12"/>
  <c r="K90" i="12" s="1"/>
  <c r="BA90" i="12"/>
  <c r="BC90" i="12" s="1"/>
  <c r="J93" i="12"/>
  <c r="K93" i="12" s="1"/>
  <c r="BA93" i="12"/>
  <c r="BC93" i="12" s="1"/>
  <c r="J7" i="12"/>
  <c r="K7" i="12" s="1"/>
  <c r="BA7" i="12"/>
  <c r="BC7" i="12" s="1"/>
  <c r="G23" i="12"/>
  <c r="H23" i="12" s="1"/>
  <c r="J31" i="12"/>
  <c r="K31" i="12" s="1"/>
  <c r="BA31" i="12"/>
  <c r="BC31" i="12" s="1"/>
  <c r="J38" i="12"/>
  <c r="K38" i="12" s="1"/>
  <c r="BA38" i="12"/>
  <c r="BC38" i="12" s="1"/>
  <c r="J42" i="12"/>
  <c r="K42" i="12" s="1"/>
  <c r="BA42" i="12"/>
  <c r="BC42" i="12" s="1"/>
  <c r="J49" i="12"/>
  <c r="K49" i="12" s="1"/>
  <c r="BA49" i="12"/>
  <c r="BC49" i="12" s="1"/>
  <c r="J51" i="12"/>
  <c r="K51" i="12" s="1"/>
  <c r="BA51" i="12"/>
  <c r="BC51" i="12" s="1"/>
  <c r="J53" i="12"/>
  <c r="K53" i="12" s="1"/>
  <c r="AS53" i="12" s="1"/>
  <c r="AT53" i="12" s="1"/>
  <c r="BA53" i="12"/>
  <c r="BC53" i="12" s="1"/>
  <c r="J57" i="12"/>
  <c r="K57" i="12" s="1"/>
  <c r="BA57" i="12"/>
  <c r="BC57" i="12" s="1"/>
  <c r="J62" i="12"/>
  <c r="K62" i="12" s="1"/>
  <c r="BA62" i="12"/>
  <c r="BC62" i="12" s="1"/>
  <c r="J76" i="12"/>
  <c r="K76" i="12" s="1"/>
  <c r="BA76" i="12"/>
  <c r="BC76" i="12" s="1"/>
  <c r="J79" i="12"/>
  <c r="K79" i="12" s="1"/>
  <c r="BA79" i="12"/>
  <c r="BC79" i="12" s="1"/>
  <c r="J84" i="12"/>
  <c r="K84" i="12" s="1"/>
  <c r="BA84" i="12"/>
  <c r="BC84" i="12" s="1"/>
  <c r="J17" i="12"/>
  <c r="K17" i="12" s="1"/>
  <c r="BA17" i="12"/>
  <c r="BC17" i="12" s="1"/>
  <c r="J18" i="12"/>
  <c r="K18" i="12" s="1"/>
  <c r="BA18" i="12"/>
  <c r="BC18" i="12" s="1"/>
  <c r="J23" i="12"/>
  <c r="K23" i="12" s="1"/>
  <c r="BA23" i="12"/>
  <c r="BC23" i="12" s="1"/>
  <c r="J30" i="12"/>
  <c r="K30" i="12" s="1"/>
  <c r="BA30" i="12"/>
  <c r="BC30" i="12" s="1"/>
  <c r="J37" i="12"/>
  <c r="K37" i="12" s="1"/>
  <c r="BA37" i="12"/>
  <c r="BC37" i="12" s="1"/>
  <c r="J41" i="12"/>
  <c r="K41" i="12" s="1"/>
  <c r="BA41" i="12"/>
  <c r="BC41" i="12" s="1"/>
  <c r="J60" i="12"/>
  <c r="K60" i="12" s="1"/>
  <c r="BA60" i="12"/>
  <c r="BC60" i="12" s="1"/>
  <c r="J72" i="12"/>
  <c r="K72" i="12" s="1"/>
  <c r="BA72" i="12"/>
  <c r="BC72" i="12" s="1"/>
  <c r="J6" i="12"/>
  <c r="K6" i="12" s="1"/>
  <c r="BA6" i="12"/>
  <c r="BC6" i="12" s="1"/>
  <c r="J10" i="12"/>
  <c r="K10" i="12" s="1"/>
  <c r="BA10" i="12"/>
  <c r="BC10" i="12" s="1"/>
  <c r="J22" i="12"/>
  <c r="K22" i="12" s="1"/>
  <c r="BA22" i="12"/>
  <c r="BC22" i="12" s="1"/>
  <c r="J34" i="12"/>
  <c r="K34" i="12" s="1"/>
  <c r="BA34" i="12"/>
  <c r="BC34" i="12" s="1"/>
  <c r="J35" i="12"/>
  <c r="K35" i="12" s="1"/>
  <c r="BA35" i="12"/>
  <c r="BC35" i="12" s="1"/>
  <c r="J36" i="12"/>
  <c r="K36" i="12" s="1"/>
  <c r="BA36" i="12"/>
  <c r="BC36" i="12" s="1"/>
  <c r="J67" i="12"/>
  <c r="K67" i="12" s="1"/>
  <c r="BA67" i="12"/>
  <c r="BC67" i="12" s="1"/>
  <c r="J86" i="12"/>
  <c r="K86" i="12" s="1"/>
  <c r="BA86" i="12"/>
  <c r="BC86" i="12" s="1"/>
  <c r="J89" i="12"/>
  <c r="K89" i="12" s="1"/>
  <c r="BA89" i="12"/>
  <c r="BC89" i="12" s="1"/>
  <c r="J92" i="12"/>
  <c r="K92" i="12" s="1"/>
  <c r="BA92" i="12"/>
  <c r="BC92" i="12" s="1"/>
  <c r="G21" i="12"/>
  <c r="H21" i="12" s="1"/>
  <c r="J29" i="12"/>
  <c r="K29" i="12" s="1"/>
  <c r="BA29" i="12"/>
  <c r="BC29" i="12" s="1"/>
  <c r="G45" i="12"/>
  <c r="H45" i="12" s="1"/>
  <c r="AS45" i="12" s="1"/>
  <c r="AT45" i="12" s="1"/>
  <c r="J48" i="12"/>
  <c r="K48" i="12" s="1"/>
  <c r="BA48" i="12"/>
  <c r="BC48" i="12" s="1"/>
  <c r="J75" i="12"/>
  <c r="K75" i="12" s="1"/>
  <c r="BA75" i="12"/>
  <c r="BC75" i="12" s="1"/>
  <c r="G26" i="12"/>
  <c r="H26" i="12" s="1"/>
  <c r="AW26" i="12"/>
  <c r="AY26" i="12" s="1"/>
  <c r="G38" i="12"/>
  <c r="H38" i="12" s="1"/>
  <c r="AS38" i="12" s="1"/>
  <c r="AT38" i="12" s="1"/>
  <c r="G44" i="12"/>
  <c r="H44" i="12" s="1"/>
  <c r="AW44" i="12"/>
  <c r="AY44" i="12" s="1"/>
  <c r="G49" i="12"/>
  <c r="H49" i="12" s="1"/>
  <c r="AW49" i="12"/>
  <c r="AY49" i="12" s="1"/>
  <c r="G60" i="12"/>
  <c r="H60" i="12" s="1"/>
  <c r="AW60" i="12"/>
  <c r="AY60" i="12" s="1"/>
  <c r="G63" i="12"/>
  <c r="H63" i="12" s="1"/>
  <c r="AW63" i="12"/>
  <c r="AY63" i="12" s="1"/>
  <c r="G64" i="12"/>
  <c r="H64" i="12" s="1"/>
  <c r="AW64" i="12"/>
  <c r="AY64" i="12" s="1"/>
  <c r="AM83" i="12"/>
  <c r="G87" i="12"/>
  <c r="H87" i="12" s="1"/>
  <c r="AW87" i="12"/>
  <c r="AY87" i="12" s="1"/>
  <c r="G8" i="12"/>
  <c r="H8" i="12" s="1"/>
  <c r="AW8" i="12"/>
  <c r="AY8" i="12" s="1"/>
  <c r="G19" i="12"/>
  <c r="H19" i="12" s="1"/>
  <c r="AW19" i="12"/>
  <c r="AY19" i="12" s="1"/>
  <c r="G39" i="12"/>
  <c r="H39" i="12" s="1"/>
  <c r="AW39" i="12"/>
  <c r="AY39" i="12" s="1"/>
  <c r="G42" i="12"/>
  <c r="H42" i="12" s="1"/>
  <c r="AW42" i="12"/>
  <c r="AY42" i="12" s="1"/>
  <c r="G76" i="12"/>
  <c r="H76" i="12" s="1"/>
  <c r="AW76" i="12"/>
  <c r="AY76" i="12" s="1"/>
  <c r="G77" i="12"/>
  <c r="H77" i="12" s="1"/>
  <c r="AW77" i="12"/>
  <c r="AY77" i="12" s="1"/>
  <c r="G9" i="12"/>
  <c r="H9" i="12" s="1"/>
  <c r="AW9" i="12"/>
  <c r="AY9" i="12" s="1"/>
  <c r="G12" i="12"/>
  <c r="H12" i="12" s="1"/>
  <c r="AW12" i="12"/>
  <c r="AY12" i="12" s="1"/>
  <c r="G17" i="12"/>
  <c r="H17" i="12" s="1"/>
  <c r="AW17" i="12"/>
  <c r="AY17" i="12" s="1"/>
  <c r="G18" i="12"/>
  <c r="H18" i="12" s="1"/>
  <c r="AW18" i="12"/>
  <c r="AY18" i="12" s="1"/>
  <c r="G27" i="12"/>
  <c r="H27" i="12" s="1"/>
  <c r="AS27" i="12" s="1"/>
  <c r="AT27" i="12" s="1"/>
  <c r="G35" i="12"/>
  <c r="H35" i="12" s="1"/>
  <c r="AW35" i="12"/>
  <c r="AY35" i="12" s="1"/>
  <c r="G93" i="12"/>
  <c r="H93" i="12" s="1"/>
  <c r="G6" i="12"/>
  <c r="H6" i="12" s="1"/>
  <c r="AS6" i="12" s="1"/>
  <c r="AT6" i="12" s="1"/>
  <c r="AW6" i="12"/>
  <c r="AY6" i="12" s="1"/>
  <c r="G32" i="12"/>
  <c r="H32" i="12" s="1"/>
  <c r="AW32" i="12"/>
  <c r="AY32" i="12" s="1"/>
  <c r="AM37" i="12"/>
  <c r="G40" i="12"/>
  <c r="H40" i="12" s="1"/>
  <c r="AW40" i="12"/>
  <c r="AY40" i="12" s="1"/>
  <c r="G48" i="12"/>
  <c r="H48" i="12" s="1"/>
  <c r="AW48" i="12"/>
  <c r="AY48" i="12" s="1"/>
  <c r="G59" i="12"/>
  <c r="H59" i="12" s="1"/>
  <c r="AW59" i="12"/>
  <c r="AY59" i="12" s="1"/>
  <c r="G73" i="12"/>
  <c r="H73" i="12" s="1"/>
  <c r="AW73" i="12"/>
  <c r="AY73" i="12" s="1"/>
  <c r="G74" i="12"/>
  <c r="H74" i="12" s="1"/>
  <c r="AW74" i="12"/>
  <c r="AY74" i="12" s="1"/>
  <c r="G75" i="12"/>
  <c r="H75" i="12" s="1"/>
  <c r="AW75" i="12"/>
  <c r="AY75" i="12" s="1"/>
  <c r="AM81" i="12"/>
  <c r="G86" i="12"/>
  <c r="H86" i="12" s="1"/>
  <c r="AW86" i="12"/>
  <c r="AY86" i="12" s="1"/>
  <c r="G15" i="12"/>
  <c r="H15" i="12" s="1"/>
  <c r="AS15" i="12" s="1"/>
  <c r="AT15" i="12" s="1"/>
  <c r="AW15" i="12"/>
  <c r="AY15" i="12" s="1"/>
  <c r="G29" i="12"/>
  <c r="H29" i="12" s="1"/>
  <c r="AW29" i="12"/>
  <c r="AY29" i="12" s="1"/>
  <c r="G31" i="12"/>
  <c r="H31" i="12" s="1"/>
  <c r="AW31" i="12"/>
  <c r="AY31" i="12" s="1"/>
  <c r="G46" i="12"/>
  <c r="H46" i="12" s="1"/>
  <c r="AW46" i="12"/>
  <c r="AY46" i="12" s="1"/>
  <c r="G52" i="12"/>
  <c r="H52" i="12" s="1"/>
  <c r="AW52" i="12"/>
  <c r="AY52" i="12" s="1"/>
  <c r="G58" i="12"/>
  <c r="H58" i="12" s="1"/>
  <c r="AW58" i="12"/>
  <c r="AY58" i="12" s="1"/>
  <c r="G65" i="12"/>
  <c r="H65" i="12" s="1"/>
  <c r="AW65" i="12"/>
  <c r="AY65" i="12" s="1"/>
  <c r="G70" i="12"/>
  <c r="H70" i="12" s="1"/>
  <c r="AW70" i="12"/>
  <c r="AY70" i="12" s="1"/>
  <c r="G71" i="12"/>
  <c r="H71" i="12" s="1"/>
  <c r="AW71" i="12"/>
  <c r="AY71" i="12" s="1"/>
  <c r="G72" i="12"/>
  <c r="H72" i="12" s="1"/>
  <c r="AW72" i="12"/>
  <c r="AY72" i="12" s="1"/>
  <c r="G79" i="12"/>
  <c r="H79" i="12" s="1"/>
  <c r="AW79" i="12"/>
  <c r="AY79" i="12" s="1"/>
  <c r="G85" i="12"/>
  <c r="H85" i="12" s="1"/>
  <c r="G92" i="12"/>
  <c r="H92" i="12" s="1"/>
  <c r="AW92" i="12"/>
  <c r="AY92" i="12" s="1"/>
  <c r="G14" i="12"/>
  <c r="H14" i="12" s="1"/>
  <c r="AW14" i="12"/>
  <c r="AY14" i="12" s="1"/>
  <c r="G16" i="12"/>
  <c r="H16" i="12" s="1"/>
  <c r="AW16" i="12"/>
  <c r="AY16" i="12" s="1"/>
  <c r="G28" i="12"/>
  <c r="H28" i="12" s="1"/>
  <c r="AW28" i="12"/>
  <c r="AY28" i="12" s="1"/>
  <c r="G30" i="12"/>
  <c r="H30" i="12" s="1"/>
  <c r="AW30" i="12"/>
  <c r="AY30" i="12" s="1"/>
  <c r="G43" i="12"/>
  <c r="H43" i="12" s="1"/>
  <c r="AW43" i="12"/>
  <c r="AY43" i="12" s="1"/>
  <c r="G54" i="12"/>
  <c r="H54" i="12" s="1"/>
  <c r="AW54" i="12"/>
  <c r="AY54" i="12" s="1"/>
  <c r="G57" i="12"/>
  <c r="H57" i="12" s="1"/>
  <c r="AW57" i="12"/>
  <c r="AY57" i="12" s="1"/>
  <c r="G67" i="12"/>
  <c r="H67" i="12" s="1"/>
  <c r="AW67" i="12"/>
  <c r="AY67" i="12" s="1"/>
  <c r="G5" i="12"/>
  <c r="H5" i="12" s="1"/>
  <c r="AW5" i="12"/>
  <c r="AY5" i="12" s="1"/>
  <c r="G4" i="12"/>
  <c r="H4" i="12" s="1"/>
  <c r="AW4" i="12"/>
  <c r="AY4" i="12" s="1"/>
  <c r="G20" i="12"/>
  <c r="H20" i="12" s="1"/>
  <c r="AW20" i="12"/>
  <c r="AY20" i="12" s="1"/>
  <c r="G24" i="12"/>
  <c r="H24" i="12" s="1"/>
  <c r="AW24" i="12"/>
  <c r="AY24" i="12" s="1"/>
  <c r="G34" i="12"/>
  <c r="H34" i="12" s="1"/>
  <c r="AW34" i="12"/>
  <c r="AY34" i="12" s="1"/>
  <c r="G36" i="12"/>
  <c r="H36" i="12" s="1"/>
  <c r="AW36" i="12"/>
  <c r="AY36" i="12" s="1"/>
  <c r="G55" i="12"/>
  <c r="H55" i="12" s="1"/>
  <c r="AW55" i="12"/>
  <c r="AY55" i="12" s="1"/>
  <c r="G68" i="12"/>
  <c r="H68" i="12" s="1"/>
  <c r="G84" i="12"/>
  <c r="H84" i="12" s="1"/>
  <c r="AW84" i="12"/>
  <c r="AY84" i="12" s="1"/>
  <c r="G90" i="12"/>
  <c r="H90" i="12" s="1"/>
  <c r="AW90" i="12"/>
  <c r="AY90" i="12" s="1"/>
  <c r="G91" i="12"/>
  <c r="H91" i="12" s="1"/>
  <c r="AW91" i="12"/>
  <c r="AY91" i="12" s="1"/>
  <c r="G10" i="12"/>
  <c r="H10" i="12" s="1"/>
  <c r="AS10" i="12" s="1"/>
  <c r="AT10" i="12" s="1"/>
  <c r="AW10" i="12"/>
  <c r="AY10" i="12" s="1"/>
  <c r="G22" i="12"/>
  <c r="H22" i="12" s="1"/>
  <c r="AW22" i="12"/>
  <c r="AY22" i="12" s="1"/>
  <c r="G61" i="12"/>
  <c r="H61" i="12" s="1"/>
  <c r="AW61" i="12"/>
  <c r="AY61" i="12" s="1"/>
  <c r="G88" i="12"/>
  <c r="H88" i="12" s="1"/>
  <c r="AW88" i="12"/>
  <c r="AY88" i="12" s="1"/>
  <c r="G89" i="12"/>
  <c r="H89" i="12" s="1"/>
  <c r="AW89" i="12"/>
  <c r="AY89" i="12" s="1"/>
  <c r="AM4" i="12"/>
  <c r="AM11" i="12"/>
  <c r="AN11" i="12" s="1"/>
  <c r="AM19" i="12"/>
  <c r="AM7" i="12"/>
  <c r="AM18" i="12"/>
  <c r="AM8" i="12"/>
  <c r="AM9" i="12"/>
  <c r="AM65" i="12"/>
  <c r="AH65" i="12"/>
  <c r="AI65" i="12" s="1"/>
  <c r="AS65" i="12" s="1"/>
  <c r="AT65" i="12" s="1"/>
  <c r="AM6" i="12"/>
  <c r="AK9" i="12"/>
  <c r="AL9" i="12" s="1"/>
  <c r="AM21" i="12"/>
  <c r="AH21" i="12"/>
  <c r="AI21" i="12" s="1"/>
  <c r="AM22" i="12"/>
  <c r="AK22" i="12"/>
  <c r="AL22" i="12" s="1"/>
  <c r="AM53" i="12"/>
  <c r="AM20" i="12"/>
  <c r="AM12" i="12"/>
  <c r="AM16" i="12"/>
  <c r="AM13" i="12"/>
  <c r="AM48" i="12"/>
  <c r="AM36" i="12"/>
  <c r="AM41" i="12"/>
  <c r="AM46" i="12"/>
  <c r="AM55" i="12"/>
  <c r="AM73" i="12"/>
  <c r="AM125" i="12"/>
  <c r="AM14" i="12"/>
  <c r="AM17" i="12"/>
  <c r="AM24" i="12"/>
  <c r="AK36" i="12"/>
  <c r="AL36" i="12" s="1"/>
  <c r="AM40" i="12"/>
  <c r="AK55" i="12"/>
  <c r="AL55" i="12" s="1"/>
  <c r="AM63" i="12"/>
  <c r="AM71" i="12"/>
  <c r="AB83" i="12"/>
  <c r="AC83" i="12" s="1"/>
  <c r="AM42" i="12"/>
  <c r="AM68" i="12"/>
  <c r="AM78" i="12"/>
  <c r="AO78" i="12" s="1"/>
  <c r="M78" i="12" s="1"/>
  <c r="N78" i="12" s="1"/>
  <c r="AM86" i="12"/>
  <c r="AM87" i="12"/>
  <c r="AM69" i="12"/>
  <c r="AO69" i="12" s="1"/>
  <c r="AE69" i="12" s="1"/>
  <c r="AF69" i="12" s="1"/>
  <c r="AM32" i="12"/>
  <c r="AM54" i="12"/>
  <c r="AM61" i="12"/>
  <c r="AM75" i="12"/>
  <c r="AM77" i="12"/>
  <c r="AM91" i="12"/>
  <c r="AM92" i="12"/>
  <c r="AM33" i="12"/>
  <c r="AM35" i="12"/>
  <c r="AM56" i="12"/>
  <c r="AN56" i="12" s="1"/>
  <c r="AM57" i="12"/>
  <c r="AM64" i="12"/>
  <c r="AM67" i="12"/>
  <c r="AM74" i="12"/>
  <c r="AK77" i="12"/>
  <c r="AL77" i="12" s="1"/>
  <c r="AM79" i="12"/>
  <c r="AM80" i="12"/>
  <c r="AM82" i="12"/>
  <c r="AN82" i="12" s="1"/>
  <c r="AO82" i="12" s="1"/>
  <c r="V82" i="12" s="1"/>
  <c r="W82" i="12" s="1"/>
  <c r="AM25" i="12"/>
  <c r="AN25" i="12" s="1"/>
  <c r="AM39" i="12"/>
  <c r="AK56" i="12"/>
  <c r="AL56" i="12" s="1"/>
  <c r="AS56" i="12" s="1"/>
  <c r="AT56" i="12" s="1"/>
  <c r="AS83" i="12"/>
  <c r="AT83" i="12" s="1"/>
  <c r="AM84" i="12"/>
  <c r="AM90" i="12"/>
  <c r="AM34" i="12"/>
  <c r="AK39" i="12"/>
  <c r="AL39" i="12" s="1"/>
  <c r="AM59" i="12"/>
  <c r="AM60" i="12"/>
  <c r="AM62" i="12"/>
  <c r="AK90" i="12"/>
  <c r="AL90" i="12" s="1"/>
  <c r="AM7" i="13"/>
  <c r="AU7" i="13" s="1"/>
  <c r="AM12" i="13"/>
  <c r="AU12" i="13" s="1"/>
  <c r="AM20" i="13"/>
  <c r="AU20" i="13" s="1"/>
  <c r="AM23" i="13"/>
  <c r="AU23" i="13" s="1"/>
  <c r="AM26" i="13"/>
  <c r="AU26" i="13" s="1"/>
  <c r="Y6" i="13"/>
  <c r="Z6" i="13" s="1"/>
  <c r="AE8" i="13"/>
  <c r="AF8" i="13" s="1"/>
  <c r="AK10" i="13"/>
  <c r="AL10" i="13" s="1"/>
  <c r="AH11" i="13"/>
  <c r="AI11" i="13" s="1"/>
  <c r="AS11" i="13" s="1"/>
  <c r="AT11" i="13" s="1"/>
  <c r="AE13" i="13"/>
  <c r="AF13" i="13" s="1"/>
  <c r="AK15" i="13"/>
  <c r="AH18" i="13"/>
  <c r="AI18" i="13" s="1"/>
  <c r="AM24" i="13"/>
  <c r="AU24" i="13" s="1"/>
  <c r="AM28" i="13"/>
  <c r="AU28" i="13" s="1"/>
  <c r="AM30" i="13"/>
  <c r="AU30" i="13" s="1"/>
  <c r="AM9" i="13"/>
  <c r="AU9" i="13" s="1"/>
  <c r="AM14" i="13"/>
  <c r="AU14" i="13" s="1"/>
  <c r="AM22" i="13"/>
  <c r="AU22" i="13" s="1"/>
  <c r="AK4" i="13"/>
  <c r="AL4" i="13" s="1"/>
  <c r="AK17" i="13"/>
  <c r="AL17" i="13" s="1"/>
  <c r="AK5" i="13"/>
  <c r="AM25" i="13"/>
  <c r="AK25" i="13"/>
  <c r="AL25" i="13" s="1"/>
  <c r="AS25" i="13" s="1"/>
  <c r="AT25" i="13" s="1"/>
  <c r="AM29" i="13"/>
  <c r="AU29" i="13" s="1"/>
  <c r="AM27" i="13"/>
  <c r="AU27" i="13" s="1"/>
  <c r="AM4" i="13"/>
  <c r="AU4" i="13" s="1"/>
  <c r="AE19" i="13"/>
  <c r="AF19" i="13" s="1"/>
  <c r="AM34" i="13"/>
  <c r="AU34" i="13" s="1"/>
  <c r="AE42" i="13"/>
  <c r="AF42" i="13" s="1"/>
  <c r="AM35" i="13"/>
  <c r="AU35" i="13" s="1"/>
  <c r="AM45" i="13"/>
  <c r="AU45" i="13" s="1"/>
  <c r="AM49" i="13"/>
  <c r="AU49" i="13" s="1"/>
  <c r="AK30" i="13"/>
  <c r="AL30" i="13" s="1"/>
  <c r="V37" i="13"/>
  <c r="W37" i="13" s="1"/>
  <c r="AK38" i="13"/>
  <c r="AL38" i="13" s="1"/>
  <c r="AH41" i="13"/>
  <c r="AI41" i="13" s="1"/>
  <c r="AK44" i="13"/>
  <c r="AL44" i="13" s="1"/>
  <c r="AM51" i="13"/>
  <c r="AU51" i="13" s="1"/>
  <c r="AM48" i="13"/>
  <c r="AU48" i="13" s="1"/>
  <c r="AK32" i="13"/>
  <c r="AL32" i="13" s="1"/>
  <c r="AK40" i="13"/>
  <c r="AK43" i="13"/>
  <c r="AL43" i="13" s="1"/>
  <c r="AM46" i="13"/>
  <c r="AU46" i="13" s="1"/>
  <c r="AK33" i="13"/>
  <c r="AM50" i="13"/>
  <c r="AU50" i="13" s="1"/>
  <c r="AM63" i="13"/>
  <c r="AU63" i="13" s="1"/>
  <c r="AM74" i="13"/>
  <c r="AU74" i="13" s="1"/>
  <c r="AM64" i="13"/>
  <c r="AU64" i="13" s="1"/>
  <c r="AE52" i="13"/>
  <c r="AF52" i="13" s="1"/>
  <c r="AK54" i="13"/>
  <c r="AL54" i="13" s="1"/>
  <c r="AH57" i="13"/>
  <c r="AI57" i="13" s="1"/>
  <c r="AK59" i="13"/>
  <c r="AL59" i="13" s="1"/>
  <c r="S61" i="13"/>
  <c r="T61" i="13" s="1"/>
  <c r="AH62" i="13"/>
  <c r="AI62" i="13" s="1"/>
  <c r="AE65" i="13"/>
  <c r="AF65" i="13" s="1"/>
  <c r="AK67" i="13"/>
  <c r="AL67" i="13" s="1"/>
  <c r="AM72" i="13"/>
  <c r="AU72" i="13" s="1"/>
  <c r="AM75" i="13"/>
  <c r="AU75" i="13" s="1"/>
  <c r="Y75" i="13"/>
  <c r="Z75" i="13" s="1"/>
  <c r="AM77" i="13"/>
  <c r="AU77" i="13" s="1"/>
  <c r="AE53" i="13"/>
  <c r="AF53" i="13" s="1"/>
  <c r="AK55" i="13"/>
  <c r="AL55" i="13" s="1"/>
  <c r="AK56" i="13"/>
  <c r="AL56" i="13" s="1"/>
  <c r="AS56" i="13" s="1"/>
  <c r="AT56" i="13" s="1"/>
  <c r="AM58" i="13"/>
  <c r="AU58" i="13" s="1"/>
  <c r="AK60" i="13"/>
  <c r="AL60" i="13" s="1"/>
  <c r="AK68" i="13"/>
  <c r="AM70" i="13"/>
  <c r="AU70" i="13" s="1"/>
  <c r="AM47" i="13"/>
  <c r="AK70" i="13"/>
  <c r="AL70" i="13" s="1"/>
  <c r="AK49" i="13"/>
  <c r="AL49" i="13" s="1"/>
  <c r="AM71" i="13"/>
  <c r="AU71" i="13" s="1"/>
  <c r="AM88" i="13"/>
  <c r="AU88" i="13" s="1"/>
  <c r="AM93" i="13"/>
  <c r="AU93" i="13" s="1"/>
  <c r="Y87" i="13"/>
  <c r="Z87" i="13" s="1"/>
  <c r="AM89" i="13"/>
  <c r="AU89" i="13" s="1"/>
  <c r="AK91" i="13"/>
  <c r="AL91" i="13" s="1"/>
  <c r="E127" i="13"/>
  <c r="AC127" i="13"/>
  <c r="AK92" i="13"/>
  <c r="AL92" i="13" s="1"/>
  <c r="H127" i="13"/>
  <c r="K127" i="13"/>
  <c r="AI127" i="13"/>
  <c r="AK74" i="13"/>
  <c r="AS74" i="13" s="1"/>
  <c r="AT74" i="13" s="1"/>
  <c r="AK86" i="13"/>
  <c r="AL86" i="13" s="1"/>
  <c r="N127" i="13"/>
  <c r="AB80" i="13"/>
  <c r="AC80" i="13" s="1"/>
  <c r="AS29" i="12"/>
  <c r="AT29" i="12" s="1"/>
  <c r="AS5" i="12"/>
  <c r="AT5" i="12" s="1"/>
  <c r="AJ94" i="12"/>
  <c r="AM94" i="12" s="1"/>
  <c r="AK16" i="12"/>
  <c r="AL16" i="12" s="1"/>
  <c r="AM31" i="12"/>
  <c r="AS44" i="12"/>
  <c r="AT44" i="12" s="1"/>
  <c r="AM10" i="12"/>
  <c r="AM15" i="12"/>
  <c r="AM23" i="12"/>
  <c r="AM30" i="12"/>
  <c r="AS47" i="12"/>
  <c r="AT47" i="12" s="1"/>
  <c r="AH8" i="12"/>
  <c r="AI8" i="12" s="1"/>
  <c r="AK11" i="12"/>
  <c r="AL11" i="12" s="1"/>
  <c r="AS11" i="12" s="1"/>
  <c r="AT11" i="12" s="1"/>
  <c r="AH13" i="12"/>
  <c r="AI13" i="12" s="1"/>
  <c r="AS13" i="12" s="1"/>
  <c r="AT13" i="12" s="1"/>
  <c r="AK18" i="12"/>
  <c r="AL18" i="12" s="1"/>
  <c r="AH25" i="12"/>
  <c r="AI25" i="12" s="1"/>
  <c r="AS25" i="12" s="1"/>
  <c r="AT25" i="12" s="1"/>
  <c r="AM28" i="12"/>
  <c r="AE17" i="12"/>
  <c r="AF17" i="12" s="1"/>
  <c r="AK19" i="12"/>
  <c r="AL19" i="12" s="1"/>
  <c r="P24" i="12"/>
  <c r="Q24" i="12" s="1"/>
  <c r="AM27" i="12"/>
  <c r="AK28" i="12"/>
  <c r="AL28" i="12" s="1"/>
  <c r="AM5" i="12"/>
  <c r="AK7" i="12"/>
  <c r="AL7" i="12" s="1"/>
  <c r="AK12" i="12"/>
  <c r="AL12" i="12" s="1"/>
  <c r="AK20" i="12"/>
  <c r="AL20" i="12" s="1"/>
  <c r="AS40" i="12"/>
  <c r="AT40" i="12" s="1"/>
  <c r="AE4" i="12"/>
  <c r="AF4" i="12" s="1"/>
  <c r="AM26" i="12"/>
  <c r="AM29" i="12"/>
  <c r="AS43" i="12"/>
  <c r="AT43" i="12" s="1"/>
  <c r="AK37" i="12"/>
  <c r="AL37" i="12" s="1"/>
  <c r="AM43" i="12"/>
  <c r="AP69" i="12"/>
  <c r="P69" i="12"/>
  <c r="Q69" i="12" s="1"/>
  <c r="V69" i="12"/>
  <c r="W69" i="12" s="1"/>
  <c r="AM44" i="12"/>
  <c r="AM45" i="12"/>
  <c r="AM51" i="12"/>
  <c r="AM38" i="12"/>
  <c r="AM47" i="12"/>
  <c r="AN47" i="12" s="1"/>
  <c r="AM49" i="12"/>
  <c r="AK49" i="12"/>
  <c r="AL49" i="12" s="1"/>
  <c r="AM50" i="12"/>
  <c r="AS66" i="12"/>
  <c r="AT66" i="12" s="1"/>
  <c r="AK33" i="12"/>
  <c r="AL33" i="12" s="1"/>
  <c r="AB34" i="12"/>
  <c r="AC34" i="12" s="1"/>
  <c r="AK41" i="12"/>
  <c r="AL41" i="12" s="1"/>
  <c r="AK46" i="12"/>
  <c r="AL46" i="12" s="1"/>
  <c r="AK48" i="12"/>
  <c r="AL48" i="12" s="1"/>
  <c r="AE42" i="12"/>
  <c r="AF42" i="12" s="1"/>
  <c r="AS42" i="12" s="1"/>
  <c r="AT42" i="12" s="1"/>
  <c r="AM52" i="12"/>
  <c r="AK54" i="12"/>
  <c r="AL54" i="12" s="1"/>
  <c r="AK59" i="12"/>
  <c r="AL59" i="12" s="1"/>
  <c r="AK67" i="12"/>
  <c r="AL67" i="12" s="1"/>
  <c r="AS76" i="12"/>
  <c r="AT76" i="12" s="1"/>
  <c r="AM58" i="12"/>
  <c r="AM66" i="12"/>
  <c r="AK61" i="12"/>
  <c r="AL61" i="12" s="1"/>
  <c r="S63" i="12"/>
  <c r="T63" i="12" s="1"/>
  <c r="AH64" i="12"/>
  <c r="AI64" i="12" s="1"/>
  <c r="V68" i="12"/>
  <c r="W68" i="12" s="1"/>
  <c r="AK69" i="12"/>
  <c r="AL69" i="12" s="1"/>
  <c r="AK57" i="12"/>
  <c r="AL57" i="12" s="1"/>
  <c r="AK62" i="12"/>
  <c r="AL62" i="12" s="1"/>
  <c r="AM70" i="12"/>
  <c r="AK71" i="12"/>
  <c r="AL71" i="12" s="1"/>
  <c r="AK70" i="12"/>
  <c r="AL70" i="12" s="1"/>
  <c r="AS70" i="12" s="1"/>
  <c r="AT70" i="12" s="1"/>
  <c r="AM72" i="12"/>
  <c r="AK51" i="12"/>
  <c r="AL51" i="12" s="1"/>
  <c r="AS51" i="12" s="1"/>
  <c r="AT51" i="12" s="1"/>
  <c r="P82" i="12"/>
  <c r="Q82" i="12" s="1"/>
  <c r="AS88" i="12"/>
  <c r="AT88" i="12" s="1"/>
  <c r="AM76" i="12"/>
  <c r="AK82" i="12"/>
  <c r="AL82" i="12" s="1"/>
  <c r="AM88" i="12"/>
  <c r="AM93" i="12"/>
  <c r="Z127" i="12"/>
  <c r="AM89" i="12"/>
  <c r="AK91" i="12"/>
  <c r="AL91" i="12" s="1"/>
  <c r="E127" i="12"/>
  <c r="AC127" i="12"/>
  <c r="AK72" i="12"/>
  <c r="AL72" i="12" s="1"/>
  <c r="AS72" i="12" s="1"/>
  <c r="AT72" i="12" s="1"/>
  <c r="AK79" i="12"/>
  <c r="AL79" i="12" s="1"/>
  <c r="AK84" i="12"/>
  <c r="AL84" i="12" s="1"/>
  <c r="AK92" i="12"/>
  <c r="AL92" i="12" s="1"/>
  <c r="K127" i="12"/>
  <c r="AI127" i="12"/>
  <c r="V73" i="12"/>
  <c r="W73" i="12" s="1"/>
  <c r="AK74" i="12"/>
  <c r="AL74" i="12" s="1"/>
  <c r="AB75" i="12"/>
  <c r="AC75" i="12" s="1"/>
  <c r="S80" i="12"/>
  <c r="T80" i="12" s="1"/>
  <c r="AS80" i="12" s="1"/>
  <c r="AT80" i="12" s="1"/>
  <c r="AK86" i="12"/>
  <c r="AL86" i="12" s="1"/>
  <c r="N127" i="12"/>
  <c r="AM85" i="12"/>
  <c r="AB81" i="12"/>
  <c r="AC81" i="12" s="1"/>
  <c r="AS81" i="12" s="1"/>
  <c r="AT81" i="12" s="1"/>
  <c r="AE87" i="12"/>
  <c r="AF87" i="12" s="1"/>
  <c r="AS87" i="12" s="1"/>
  <c r="AT87" i="12" s="1"/>
  <c r="AS61" i="12" l="1"/>
  <c r="AT61" i="12" s="1"/>
  <c r="AS89" i="12"/>
  <c r="AT89" i="12" s="1"/>
  <c r="AS85" i="12"/>
  <c r="AT85" i="12" s="1"/>
  <c r="AS32" i="12"/>
  <c r="AT32" i="12" s="1"/>
  <c r="AS91" i="12"/>
  <c r="AT91" i="12" s="1"/>
  <c r="AH78" i="12"/>
  <c r="AI78" i="12" s="1"/>
  <c r="AS62" i="12"/>
  <c r="AT62" i="12" s="1"/>
  <c r="AS73" i="12"/>
  <c r="AT73" i="12" s="1"/>
  <c r="AB78" i="12"/>
  <c r="AC78" i="12" s="1"/>
  <c r="AS17" i="12"/>
  <c r="AT17" i="12" s="1"/>
  <c r="AS42" i="13"/>
  <c r="AT42" i="13" s="1"/>
  <c r="AS67" i="12"/>
  <c r="AT67" i="12" s="1"/>
  <c r="AS12" i="12"/>
  <c r="AT12" i="12" s="1"/>
  <c r="AS52" i="12"/>
  <c r="AT52" i="12" s="1"/>
  <c r="AS84" i="12"/>
  <c r="AT84" i="12" s="1"/>
  <c r="AS37" i="12"/>
  <c r="AT37" i="12" s="1"/>
  <c r="AS54" i="13"/>
  <c r="AT54" i="13" s="1"/>
  <c r="AS9" i="12"/>
  <c r="AT9" i="12" s="1"/>
  <c r="AS90" i="12"/>
  <c r="AT90" i="12" s="1"/>
  <c r="AS58" i="12"/>
  <c r="AT58" i="12" s="1"/>
  <c r="AS71" i="12"/>
  <c r="AT71" i="12" s="1"/>
  <c r="AS79" i="12"/>
  <c r="AT79" i="12" s="1"/>
  <c r="AS33" i="12"/>
  <c r="AT33" i="12" s="1"/>
  <c r="AS14" i="12"/>
  <c r="AT14" i="12" s="1"/>
  <c r="AS35" i="12"/>
  <c r="AT35" i="12" s="1"/>
  <c r="AS23" i="12"/>
  <c r="AT23" i="12" s="1"/>
  <c r="AS47" i="13"/>
  <c r="AT47" i="13" s="1"/>
  <c r="AS51" i="13"/>
  <c r="AT51" i="13" s="1"/>
  <c r="AS21" i="13"/>
  <c r="AT21" i="13" s="1"/>
  <c r="AS27" i="13"/>
  <c r="AT27" i="13" s="1"/>
  <c r="AS55" i="13"/>
  <c r="AT55" i="13" s="1"/>
  <c r="AS58" i="13"/>
  <c r="AT58" i="13" s="1"/>
  <c r="AS48" i="13"/>
  <c r="AT48" i="13" s="1"/>
  <c r="AS31" i="13"/>
  <c r="AT31" i="13" s="1"/>
  <c r="AS70" i="13"/>
  <c r="AT70" i="13" s="1"/>
  <c r="AS12" i="13"/>
  <c r="AT12" i="13" s="1"/>
  <c r="AS79" i="13"/>
  <c r="AT79" i="13" s="1"/>
  <c r="AS72" i="13"/>
  <c r="AT72" i="13" s="1"/>
  <c r="AS20" i="13"/>
  <c r="AT20" i="13" s="1"/>
  <c r="AN11" i="13"/>
  <c r="AU11" i="13"/>
  <c r="AK78" i="13"/>
  <c r="AL78" i="13" s="1"/>
  <c r="AU78" i="13"/>
  <c r="AN47" i="13"/>
  <c r="AU47" i="13"/>
  <c r="AN25" i="13"/>
  <c r="AU25" i="13"/>
  <c r="J82" i="12"/>
  <c r="K82" i="12" s="1"/>
  <c r="AS82" i="12" s="1"/>
  <c r="AT82" i="12" s="1"/>
  <c r="AS31" i="12"/>
  <c r="AT31" i="12" s="1"/>
  <c r="AB82" i="12"/>
  <c r="AC82" i="12" s="1"/>
  <c r="AS16" i="12"/>
  <c r="AT16" i="12" s="1"/>
  <c r="AK78" i="12"/>
  <c r="AL78" i="12" s="1"/>
  <c r="AE78" i="12"/>
  <c r="AF78" i="12" s="1"/>
  <c r="AS46" i="12"/>
  <c r="AT46" i="12" s="1"/>
  <c r="AP78" i="12"/>
  <c r="AP94" i="12" s="1"/>
  <c r="S82" i="12"/>
  <c r="T82" i="12" s="1"/>
  <c r="AS30" i="12"/>
  <c r="AT30" i="12" s="1"/>
  <c r="M82" i="12"/>
  <c r="N82" i="12" s="1"/>
  <c r="Y78" i="12"/>
  <c r="Z78" i="12" s="1"/>
  <c r="AS28" i="12"/>
  <c r="AT28" i="12" s="1"/>
  <c r="AS18" i="12"/>
  <c r="AT18" i="12" s="1"/>
  <c r="AS29" i="13"/>
  <c r="AT29" i="13" s="1"/>
  <c r="AS26" i="13"/>
  <c r="AT26" i="13" s="1"/>
  <c r="AS84" i="13"/>
  <c r="AT84" i="13" s="1"/>
  <c r="AS7" i="13"/>
  <c r="AT7" i="13" s="1"/>
  <c r="AS45" i="13"/>
  <c r="AT45" i="13" s="1"/>
  <c r="AS46" i="13"/>
  <c r="AT46" i="13" s="1"/>
  <c r="AS66" i="13"/>
  <c r="AT66" i="13" s="1"/>
  <c r="AS23" i="13"/>
  <c r="AT23" i="13" s="1"/>
  <c r="AS34" i="13"/>
  <c r="AT34" i="13" s="1"/>
  <c r="AS76" i="13"/>
  <c r="AT76" i="13" s="1"/>
  <c r="AS71" i="13"/>
  <c r="AT71" i="13" s="1"/>
  <c r="AS14" i="13"/>
  <c r="AT14" i="13" s="1"/>
  <c r="AS93" i="13"/>
  <c r="AT93" i="13" s="1"/>
  <c r="AS9" i="13"/>
  <c r="AT9" i="13" s="1"/>
  <c r="M82" i="13"/>
  <c r="AS33" i="13"/>
  <c r="AT33" i="13" s="1"/>
  <c r="AS64" i="13"/>
  <c r="AT64" i="13" s="1"/>
  <c r="AS22" i="13"/>
  <c r="AT22" i="13" s="1"/>
  <c r="AS62" i="13"/>
  <c r="AT62" i="13" s="1"/>
  <c r="AS19" i="13"/>
  <c r="AT19" i="13" s="1"/>
  <c r="AS30" i="13"/>
  <c r="AT30" i="13" s="1"/>
  <c r="AS35" i="13"/>
  <c r="AT35" i="13" s="1"/>
  <c r="AS10" i="13"/>
  <c r="AT10" i="13" s="1"/>
  <c r="AS36" i="13"/>
  <c r="AT36" i="13" s="1"/>
  <c r="AS85" i="13"/>
  <c r="AT85" i="13" s="1"/>
  <c r="S78" i="13"/>
  <c r="T78" i="13" s="1"/>
  <c r="AE82" i="13"/>
  <c r="AP69" i="13"/>
  <c r="AH78" i="13"/>
  <c r="AI78" i="13" s="1"/>
  <c r="D78" i="13"/>
  <c r="E78" i="13" s="1"/>
  <c r="AS80" i="13"/>
  <c r="AT80" i="13" s="1"/>
  <c r="AS81" i="13"/>
  <c r="AT81" i="13" s="1"/>
  <c r="AS28" i="13"/>
  <c r="AT28" i="13" s="1"/>
  <c r="AS37" i="13"/>
  <c r="AT37" i="13" s="1"/>
  <c r="AS5" i="13"/>
  <c r="AT5" i="13" s="1"/>
  <c r="AS87" i="13"/>
  <c r="AT87" i="13" s="1"/>
  <c r="AS60" i="13"/>
  <c r="AT60" i="13" s="1"/>
  <c r="AS52" i="13"/>
  <c r="AT52" i="13" s="1"/>
  <c r="AS13" i="13"/>
  <c r="AT13" i="13" s="1"/>
  <c r="AS89" i="13"/>
  <c r="AT89" i="13" s="1"/>
  <c r="AS73" i="13"/>
  <c r="AT73" i="13" s="1"/>
  <c r="AS63" i="13"/>
  <c r="AT63" i="13" s="1"/>
  <c r="AS67" i="13"/>
  <c r="AT67" i="13" s="1"/>
  <c r="AS24" i="13"/>
  <c r="AT24" i="13" s="1"/>
  <c r="AS88" i="13"/>
  <c r="AT88" i="13" s="1"/>
  <c r="AS49" i="13"/>
  <c r="AT49" i="13" s="1"/>
  <c r="AS8" i="13"/>
  <c r="AT8" i="13" s="1"/>
  <c r="AS77" i="13"/>
  <c r="AT77" i="13" s="1"/>
  <c r="S69" i="13"/>
  <c r="T69" i="13" s="1"/>
  <c r="S82" i="13"/>
  <c r="AS65" i="13"/>
  <c r="AT65" i="13" s="1"/>
  <c r="AS44" i="13"/>
  <c r="AT44" i="13" s="1"/>
  <c r="AH69" i="13"/>
  <c r="AI69" i="13" s="1"/>
  <c r="AB82" i="13"/>
  <c r="AS43" i="13"/>
  <c r="AT43" i="13" s="1"/>
  <c r="AS41" i="13"/>
  <c r="AT41" i="13" s="1"/>
  <c r="J69" i="13"/>
  <c r="K69" i="13" s="1"/>
  <c r="AS4" i="13"/>
  <c r="AT4" i="13" s="1"/>
  <c r="AS16" i="13"/>
  <c r="AT16" i="13" s="1"/>
  <c r="G82" i="13"/>
  <c r="G78" i="13"/>
  <c r="H78" i="13" s="1"/>
  <c r="AS61" i="13"/>
  <c r="AT61" i="13" s="1"/>
  <c r="AS40" i="13"/>
  <c r="AT40" i="13" s="1"/>
  <c r="AS38" i="13"/>
  <c r="AT38" i="13" s="1"/>
  <c r="G69" i="13"/>
  <c r="H69" i="13" s="1"/>
  <c r="AS17" i="13"/>
  <c r="AT17" i="13" s="1"/>
  <c r="AS18" i="13"/>
  <c r="AT18" i="13" s="1"/>
  <c r="AS90" i="13"/>
  <c r="AT90" i="13" s="1"/>
  <c r="AE78" i="13"/>
  <c r="AF78" i="13" s="1"/>
  <c r="AK69" i="13"/>
  <c r="AL69" i="13" s="1"/>
  <c r="AS59" i="13"/>
  <c r="AT59" i="13" s="1"/>
  <c r="AE69" i="13"/>
  <c r="AF69" i="13" s="1"/>
  <c r="AS15" i="13"/>
  <c r="AT15" i="13" s="1"/>
  <c r="G82" i="12"/>
  <c r="H82" i="12" s="1"/>
  <c r="AS64" i="12"/>
  <c r="AT64" i="12" s="1"/>
  <c r="AS41" i="12"/>
  <c r="AT41" i="12" s="1"/>
  <c r="AS22" i="12"/>
  <c r="AT22" i="12" s="1"/>
  <c r="AS39" i="12"/>
  <c r="AT39" i="12" s="1"/>
  <c r="AH82" i="12"/>
  <c r="AI82" i="12" s="1"/>
  <c r="AS63" i="12"/>
  <c r="AT63" i="12" s="1"/>
  <c r="AS34" i="12"/>
  <c r="AT34" i="12" s="1"/>
  <c r="AS92" i="12"/>
  <c r="AT92" i="12" s="1"/>
  <c r="AS57" i="12"/>
  <c r="AT57" i="12" s="1"/>
  <c r="AS7" i="12"/>
  <c r="AT7" i="12" s="1"/>
  <c r="AS21" i="12"/>
  <c r="AT21" i="12" s="1"/>
  <c r="AS26" i="12"/>
  <c r="AT26" i="12" s="1"/>
  <c r="AS86" i="12"/>
  <c r="AT86" i="12" s="1"/>
  <c r="AS49" i="12"/>
  <c r="AT49" i="12" s="1"/>
  <c r="AS77" i="12"/>
  <c r="AT77" i="12" s="1"/>
  <c r="AS92" i="13"/>
  <c r="AT92" i="13" s="1"/>
  <c r="P78" i="13"/>
  <c r="Q78" i="13" s="1"/>
  <c r="Y82" i="13"/>
  <c r="AS53" i="13"/>
  <c r="AT53" i="13" s="1"/>
  <c r="Y69" i="13"/>
  <c r="Z69" i="13" s="1"/>
  <c r="AH82" i="13"/>
  <c r="J78" i="13"/>
  <c r="K78" i="13" s="1"/>
  <c r="P69" i="13"/>
  <c r="Q69" i="13" s="1"/>
  <c r="D69" i="13"/>
  <c r="E69" i="13" s="1"/>
  <c r="AS86" i="13"/>
  <c r="AT86" i="13" s="1"/>
  <c r="AS91" i="13"/>
  <c r="AT91" i="13" s="1"/>
  <c r="D82" i="13"/>
  <c r="AB78" i="13"/>
  <c r="AC78" i="13" s="1"/>
  <c r="AS68" i="13"/>
  <c r="AT68" i="13" s="1"/>
  <c r="AS75" i="13"/>
  <c r="AT75" i="13" s="1"/>
  <c r="AS57" i="13"/>
  <c r="AT57" i="13" s="1"/>
  <c r="AS32" i="13"/>
  <c r="AT32" i="13" s="1"/>
  <c r="V69" i="13"/>
  <c r="W69" i="13" s="1"/>
  <c r="AS6" i="13"/>
  <c r="AT6" i="13" s="1"/>
  <c r="M69" i="13"/>
  <c r="N69" i="13" s="1"/>
  <c r="V78" i="13"/>
  <c r="W78" i="13" s="1"/>
  <c r="P82" i="13"/>
  <c r="AP78" i="13"/>
  <c r="M78" i="13"/>
  <c r="N78" i="13" s="1"/>
  <c r="AO94" i="13"/>
  <c r="Y78" i="13"/>
  <c r="Z78" i="13" s="1"/>
  <c r="AK82" i="13"/>
  <c r="J82" i="13"/>
  <c r="AS74" i="12"/>
  <c r="AT74" i="12" s="1"/>
  <c r="D82" i="12"/>
  <c r="E82" i="12" s="1"/>
  <c r="AO94" i="12"/>
  <c r="J78" i="12"/>
  <c r="K78" i="12" s="1"/>
  <c r="AP82" i="12"/>
  <c r="AS59" i="12"/>
  <c r="AT59" i="12" s="1"/>
  <c r="AB69" i="12"/>
  <c r="AC69" i="12" s="1"/>
  <c r="AC94" i="12" s="1"/>
  <c r="AC128" i="12" s="1"/>
  <c r="AC130" i="12" s="1"/>
  <c r="AB130" i="12" s="1"/>
  <c r="AS20" i="12"/>
  <c r="AT20" i="12" s="1"/>
  <c r="AS19" i="12"/>
  <c r="AT19" i="12" s="1"/>
  <c r="AS8" i="12"/>
  <c r="AT8" i="12" s="1"/>
  <c r="S69" i="12"/>
  <c r="T69" i="12" s="1"/>
  <c r="AS55" i="12"/>
  <c r="AT55" i="12" s="1"/>
  <c r="AS36" i="12"/>
  <c r="AT36" i="12" s="1"/>
  <c r="AS93" i="12"/>
  <c r="AT93" i="12" s="1"/>
  <c r="AS60" i="12"/>
  <c r="AT60" i="12" s="1"/>
  <c r="AE82" i="12"/>
  <c r="AF82" i="12" s="1"/>
  <c r="AS4" i="12"/>
  <c r="Y82" i="12"/>
  <c r="Z82" i="12" s="1"/>
  <c r="S78" i="12"/>
  <c r="T78" i="12" s="1"/>
  <c r="AS54" i="12"/>
  <c r="AT54" i="12" s="1"/>
  <c r="AS48" i="12"/>
  <c r="AT48" i="12" s="1"/>
  <c r="AS75" i="12"/>
  <c r="AT75" i="12" s="1"/>
  <c r="J69" i="12"/>
  <c r="K69" i="12" s="1"/>
  <c r="D78" i="12"/>
  <c r="E78" i="12" s="1"/>
  <c r="V78" i="12"/>
  <c r="W78" i="12" s="1"/>
  <c r="W94" i="12" s="1"/>
  <c r="W128" i="12" s="1"/>
  <c r="W130" i="12" s="1"/>
  <c r="V130" i="12" s="1"/>
  <c r="D69" i="12"/>
  <c r="E69" i="12" s="1"/>
  <c r="E94" i="12" s="1"/>
  <c r="E128" i="12" s="1"/>
  <c r="E130" i="12" s="1"/>
  <c r="D130" i="12" s="1"/>
  <c r="AH69" i="12"/>
  <c r="AI69" i="12" s="1"/>
  <c r="G69" i="12"/>
  <c r="H69" i="12" s="1"/>
  <c r="M69" i="12"/>
  <c r="N69" i="12" s="1"/>
  <c r="N94" i="12" s="1"/>
  <c r="N128" i="12" s="1"/>
  <c r="N130" i="12" s="1"/>
  <c r="M130" i="12" s="1"/>
  <c r="P78" i="12"/>
  <c r="Q78" i="12" s="1"/>
  <c r="Q94" i="12" s="1"/>
  <c r="Q128" i="12" s="1"/>
  <c r="Q130" i="12" s="1"/>
  <c r="P130" i="12" s="1"/>
  <c r="G78" i="12"/>
  <c r="H78" i="12" s="1"/>
  <c r="Y69" i="12"/>
  <c r="Z69" i="12" s="1"/>
  <c r="AS24" i="12"/>
  <c r="AT24" i="12" s="1"/>
  <c r="AS68" i="12"/>
  <c r="AT68" i="12" s="1"/>
  <c r="AT4" i="12"/>
  <c r="AL94" i="12"/>
  <c r="O4" i="3"/>
  <c r="AF94" i="12" l="1"/>
  <c r="AF128" i="12" s="1"/>
  <c r="AF130" i="12" s="1"/>
  <c r="AE130" i="12" s="1"/>
  <c r="K94" i="12"/>
  <c r="K128" i="12" s="1"/>
  <c r="K130" i="12" s="1"/>
  <c r="J130" i="12" s="1"/>
  <c r="AI94" i="12"/>
  <c r="AI128" i="12" s="1"/>
  <c r="AI130" i="12" s="1"/>
  <c r="AH130" i="12" s="1"/>
  <c r="Z94" i="12"/>
  <c r="Z128" i="12" s="1"/>
  <c r="Z130" i="12" s="1"/>
  <c r="Y130" i="12" s="1"/>
  <c r="AC94" i="13"/>
  <c r="AC128" i="13" s="1"/>
  <c r="AC130" i="13" s="1"/>
  <c r="AB130" i="13" s="1"/>
  <c r="AL94" i="13"/>
  <c r="T94" i="13"/>
  <c r="T128" i="13" s="1"/>
  <c r="T130" i="13" s="1"/>
  <c r="S130" i="13" s="1"/>
  <c r="AF94" i="13"/>
  <c r="AF128" i="13" s="1"/>
  <c r="AF130" i="13" s="1"/>
  <c r="AE130" i="13" s="1"/>
  <c r="W94" i="13"/>
  <c r="W128" i="13" s="1"/>
  <c r="W130" i="13" s="1"/>
  <c r="V130" i="13" s="1"/>
  <c r="AP94" i="13"/>
  <c r="H94" i="13"/>
  <c r="H128" i="13" s="1"/>
  <c r="H130" i="13" s="1"/>
  <c r="G130" i="13" s="1"/>
  <c r="AI94" i="13"/>
  <c r="AI128" i="13" s="1"/>
  <c r="AI130" i="13" s="1"/>
  <c r="AH130" i="13" s="1"/>
  <c r="K94" i="13"/>
  <c r="K128" i="13" s="1"/>
  <c r="K130" i="13" s="1"/>
  <c r="J130" i="13" s="1"/>
  <c r="N94" i="13"/>
  <c r="N128" i="13" s="1"/>
  <c r="N130" i="13" s="1"/>
  <c r="M130" i="13" s="1"/>
  <c r="E94" i="13"/>
  <c r="E128" i="13" s="1"/>
  <c r="E130" i="13" s="1"/>
  <c r="D130" i="13" s="1"/>
  <c r="AS78" i="12"/>
  <c r="AT78" i="12" s="1"/>
  <c r="T94" i="12"/>
  <c r="T128" i="12" s="1"/>
  <c r="T130" i="12" s="1"/>
  <c r="S130" i="12" s="1"/>
  <c r="AS69" i="13"/>
  <c r="AT69" i="13" s="1"/>
  <c r="AS82" i="13"/>
  <c r="AT82" i="13" s="1"/>
  <c r="Q94" i="13"/>
  <c r="Q128" i="13" s="1"/>
  <c r="Q130" i="13" s="1"/>
  <c r="P130" i="13" s="1"/>
  <c r="AS78" i="13"/>
  <c r="AT78" i="13" s="1"/>
  <c r="Z94" i="13"/>
  <c r="Z128" i="13" s="1"/>
  <c r="Z130" i="13" s="1"/>
  <c r="Y130" i="13" s="1"/>
  <c r="H94" i="12"/>
  <c r="H128" i="12" s="1"/>
  <c r="H130" i="12" s="1"/>
  <c r="G130" i="12" s="1"/>
  <c r="AS69" i="12"/>
  <c r="AT69" i="12" s="1"/>
  <c r="O11" i="3"/>
  <c r="O25" i="3"/>
  <c r="O32" i="3"/>
  <c r="O47" i="3"/>
  <c r="O51" i="3"/>
  <c r="O56" i="3"/>
  <c r="O59" i="3"/>
  <c r="AS94" i="12" l="1"/>
  <c r="AS94" i="13"/>
  <c r="F44" i="2"/>
  <c r="F41" i="2"/>
  <c r="G42" i="2"/>
  <c r="H43" i="2" l="1"/>
  <c r="H42" i="2"/>
  <c r="G43" i="2"/>
  <c r="O83" i="3" l="1"/>
  <c r="I3" i="1" l="1"/>
  <c r="O3" i="1" s="1"/>
  <c r="I4" i="1"/>
  <c r="O4" i="1" s="1"/>
  <c r="I5" i="1"/>
  <c r="O5" i="1" s="1"/>
  <c r="I6" i="1"/>
  <c r="O6" i="1" s="1"/>
  <c r="I7" i="1"/>
  <c r="O7" i="1" s="1"/>
  <c r="I8" i="1"/>
  <c r="O8" i="1" s="1"/>
  <c r="I9" i="1"/>
  <c r="O9" i="1" s="1"/>
  <c r="I10" i="1"/>
  <c r="O10" i="1" s="1"/>
  <c r="I11" i="1"/>
  <c r="O11" i="1" s="1"/>
  <c r="I12" i="1"/>
  <c r="O12" i="1" s="1"/>
  <c r="I14" i="1"/>
  <c r="O14" i="1" s="1"/>
  <c r="I15" i="1"/>
  <c r="O15" i="1" s="1"/>
  <c r="I16" i="1"/>
  <c r="O16" i="1" s="1"/>
  <c r="I17" i="1"/>
  <c r="O17" i="1" s="1"/>
  <c r="I18" i="1"/>
  <c r="O18" i="1" s="1"/>
  <c r="I19" i="1"/>
  <c r="O19" i="1" s="1"/>
  <c r="I20" i="1"/>
  <c r="O20" i="1" s="1"/>
  <c r="I21" i="1"/>
  <c r="O21" i="1" s="1"/>
  <c r="I22" i="1"/>
  <c r="O22" i="1" s="1"/>
  <c r="I23" i="1"/>
  <c r="O23" i="1" s="1"/>
  <c r="I24" i="1"/>
  <c r="O24" i="1" s="1"/>
  <c r="I25" i="1"/>
  <c r="O25" i="1" s="1"/>
  <c r="I26" i="1"/>
  <c r="O26" i="1" s="1"/>
  <c r="I27" i="1"/>
  <c r="O27" i="1" s="1"/>
  <c r="I28" i="1"/>
  <c r="O28" i="1" s="1"/>
  <c r="I29" i="1"/>
  <c r="O29" i="1" s="1"/>
  <c r="I30" i="1"/>
  <c r="O30" i="1" s="1"/>
  <c r="I31" i="1"/>
  <c r="O31" i="1" s="1"/>
  <c r="I32" i="1"/>
  <c r="O32" i="1" s="1"/>
  <c r="I33" i="1"/>
  <c r="O33" i="1" s="1"/>
  <c r="I34" i="1"/>
  <c r="O34" i="1" s="1"/>
  <c r="I35" i="1"/>
  <c r="O35" i="1" s="1"/>
  <c r="I36" i="1"/>
  <c r="O36" i="1" s="1"/>
  <c r="I37" i="1"/>
  <c r="O37" i="1" s="1"/>
  <c r="I38" i="1"/>
  <c r="O38" i="1" s="1"/>
  <c r="I39" i="1"/>
  <c r="O39" i="1" s="1"/>
  <c r="I40" i="1"/>
  <c r="O40" i="1" s="1"/>
  <c r="I41" i="1"/>
  <c r="O41" i="1" s="1"/>
  <c r="I42" i="1"/>
  <c r="O42" i="1" s="1"/>
  <c r="I43" i="1"/>
  <c r="O43" i="1" s="1"/>
  <c r="I45" i="1"/>
  <c r="O45" i="1" s="1"/>
  <c r="I46" i="1"/>
  <c r="O46" i="1" s="1"/>
  <c r="I47" i="1"/>
  <c r="O47" i="1" s="1"/>
  <c r="I48" i="1"/>
  <c r="O48" i="1" s="1"/>
  <c r="I49" i="1"/>
  <c r="O49" i="1" s="1"/>
  <c r="I50" i="1"/>
  <c r="O50" i="1" s="1"/>
  <c r="I51" i="1"/>
  <c r="O51" i="1" s="1"/>
  <c r="I52" i="1"/>
  <c r="O52" i="1" s="1"/>
  <c r="I53" i="1"/>
  <c r="O53" i="1" s="1"/>
  <c r="I54" i="1"/>
  <c r="O54" i="1" s="1"/>
  <c r="I55" i="1"/>
  <c r="O55" i="1" s="1"/>
  <c r="I56" i="1"/>
  <c r="O56" i="1" s="1"/>
  <c r="I57" i="1"/>
  <c r="O57" i="1" s="1"/>
  <c r="I58" i="1"/>
  <c r="O58" i="1" s="1"/>
  <c r="I59" i="1"/>
  <c r="O59" i="1" s="1"/>
  <c r="I60" i="1"/>
  <c r="O60" i="1" s="1"/>
  <c r="I61" i="1"/>
  <c r="O61" i="1" s="1"/>
  <c r="I62" i="1"/>
  <c r="O62" i="1" s="1"/>
  <c r="I63" i="1"/>
  <c r="O63" i="1" s="1"/>
  <c r="I64" i="1"/>
  <c r="O64" i="1" s="1"/>
  <c r="I65" i="1"/>
  <c r="O65" i="1" s="1"/>
  <c r="I66" i="1"/>
  <c r="O66" i="1" s="1"/>
  <c r="I67" i="1"/>
  <c r="O67" i="1" s="1"/>
  <c r="I68" i="1"/>
  <c r="O68" i="1" s="1"/>
  <c r="I69" i="1"/>
  <c r="O69" i="1" s="1"/>
  <c r="I71" i="1"/>
  <c r="O71" i="1" s="1"/>
  <c r="I72" i="1"/>
  <c r="O72" i="1" s="1"/>
  <c r="I73" i="1"/>
  <c r="O73" i="1" s="1"/>
  <c r="I74" i="1"/>
  <c r="O74" i="1" s="1"/>
  <c r="I75" i="1"/>
  <c r="O75" i="1" s="1"/>
  <c r="I76" i="1"/>
  <c r="O76" i="1" s="1"/>
  <c r="I77" i="1"/>
  <c r="O77" i="1" s="1"/>
  <c r="I78" i="1"/>
  <c r="O78" i="1" s="1"/>
  <c r="I80" i="1"/>
  <c r="O80" i="1" s="1"/>
  <c r="I81" i="1"/>
  <c r="O81" i="1" s="1"/>
  <c r="I82" i="1"/>
  <c r="O82" i="1" s="1"/>
  <c r="I83" i="1"/>
  <c r="O83" i="1" s="1"/>
  <c r="I84" i="1"/>
  <c r="I85" i="1"/>
  <c r="I86" i="1"/>
  <c r="I87" i="1"/>
  <c r="I88" i="1"/>
  <c r="I89" i="1"/>
  <c r="I90" i="1"/>
  <c r="I91" i="1"/>
  <c r="I92" i="1"/>
  <c r="I93" i="1"/>
  <c r="I94" i="1"/>
  <c r="I95" i="1"/>
  <c r="I2" i="1"/>
  <c r="O2" i="1" s="1"/>
  <c r="E99" i="1"/>
  <c r="F99" i="1"/>
  <c r="D16" i="2"/>
  <c r="D17" i="2"/>
  <c r="F17" i="2"/>
  <c r="F16" i="2"/>
  <c r="J50" i="2"/>
  <c r="D50" i="2"/>
  <c r="J49" i="2"/>
  <c r="D49" i="2"/>
  <c r="J43" i="2"/>
  <c r="L45" i="2" s="1"/>
  <c r="D43" i="2"/>
  <c r="J42" i="2"/>
  <c r="L41" i="2" s="1"/>
  <c r="D42" i="2"/>
  <c r="K11" i="2"/>
  <c r="M42" i="2" l="1"/>
  <c r="M39" i="2" l="1"/>
  <c r="M38" i="2"/>
  <c r="M40" i="2" l="1"/>
  <c r="J32" i="2" l="1"/>
  <c r="K35" i="2" s="1"/>
  <c r="K34" i="2" s="1"/>
  <c r="C32" i="2"/>
  <c r="D34" i="2" s="1"/>
  <c r="M31" i="2"/>
  <c r="F31" i="2"/>
  <c r="E31" i="2"/>
  <c r="M30" i="2"/>
  <c r="F30" i="2"/>
  <c r="M29" i="2"/>
  <c r="F29" i="2"/>
  <c r="E29" i="2"/>
  <c r="M28" i="2"/>
  <c r="F28" i="2"/>
  <c r="E28" i="2"/>
  <c r="M27" i="2"/>
  <c r="F27" i="2"/>
  <c r="E27" i="2"/>
  <c r="M26" i="2"/>
  <c r="F26" i="2"/>
  <c r="E26" i="2"/>
  <c r="M25" i="2"/>
  <c r="F25" i="2"/>
  <c r="M24" i="2"/>
  <c r="F24" i="2"/>
  <c r="E24" i="2"/>
  <c r="M23" i="2"/>
  <c r="F23" i="2"/>
  <c r="E23" i="2"/>
  <c r="M22" i="2"/>
  <c r="F22" i="2"/>
  <c r="E22" i="2"/>
  <c r="M21" i="2"/>
  <c r="F21" i="2"/>
  <c r="E21" i="2"/>
  <c r="M20" i="2"/>
  <c r="F20" i="2"/>
  <c r="E20" i="2"/>
  <c r="E32" i="2" s="1"/>
  <c r="E14" i="2"/>
  <c r="C14" i="2"/>
  <c r="G13" i="2"/>
  <c r="G12" i="2"/>
  <c r="G11" i="2"/>
  <c r="G10" i="2"/>
  <c r="G9" i="2"/>
  <c r="G8" i="2"/>
  <c r="G7" i="2"/>
  <c r="G6" i="2"/>
  <c r="G5" i="2"/>
  <c r="G4" i="2"/>
  <c r="G3" i="2"/>
  <c r="G2" i="2"/>
  <c r="D12" i="2" l="1"/>
  <c r="L9" i="2"/>
  <c r="F49" i="2"/>
  <c r="F12" i="2"/>
  <c r="L10" i="2"/>
  <c r="F50" i="2"/>
  <c r="F8" i="2"/>
  <c r="F13" i="2"/>
  <c r="F6" i="2"/>
  <c r="F10" i="2"/>
  <c r="F4" i="2"/>
  <c r="F2" i="2"/>
  <c r="F32" i="2"/>
  <c r="E30" i="2"/>
  <c r="G14" i="2"/>
  <c r="E25" i="2"/>
  <c r="E34" i="2"/>
  <c r="D3" i="2"/>
  <c r="D5" i="2"/>
  <c r="D7" i="2"/>
  <c r="D9" i="2"/>
  <c r="D11" i="2"/>
  <c r="F3" i="2"/>
  <c r="F5" i="2"/>
  <c r="F7" i="2"/>
  <c r="F9" i="2"/>
  <c r="F11" i="2"/>
  <c r="D13" i="2"/>
  <c r="L20" i="2"/>
  <c r="L32" i="2" s="1"/>
  <c r="L22" i="2"/>
  <c r="L24" i="2"/>
  <c r="L26" i="2"/>
  <c r="L28" i="2"/>
  <c r="L30" i="2"/>
  <c r="D2" i="2"/>
  <c r="D4" i="2"/>
  <c r="D6" i="2"/>
  <c r="D8" i="2"/>
  <c r="D10" i="2"/>
  <c r="L21" i="2"/>
  <c r="L23" i="2"/>
  <c r="L25" i="2"/>
  <c r="L27" i="2"/>
  <c r="L29" i="2"/>
  <c r="L31" i="2"/>
  <c r="H6" i="2" l="1"/>
  <c r="K14" i="2"/>
  <c r="K15" i="2" s="1"/>
  <c r="L14" i="2"/>
  <c r="L15" i="2" s="1"/>
  <c r="H7" i="2"/>
  <c r="H13" i="2"/>
  <c r="H12" i="2"/>
  <c r="H3" i="2"/>
  <c r="H10" i="2"/>
  <c r="H2" i="2"/>
  <c r="H4" i="2"/>
  <c r="H9" i="2"/>
  <c r="H8" i="2"/>
  <c r="F14" i="2"/>
  <c r="H11" i="2"/>
  <c r="H5" i="2"/>
  <c r="D14" i="2"/>
  <c r="H14" i="2" l="1"/>
  <c r="H12" i="10"/>
  <c r="H37" i="10"/>
  <c r="H44" i="10"/>
  <c r="H45" i="10"/>
  <c r="H76" i="10"/>
  <c r="H77" i="10"/>
  <c r="G5" i="10"/>
  <c r="H5" i="10" s="1"/>
  <c r="G6" i="10"/>
  <c r="H6" i="10" s="1"/>
  <c r="G7" i="10"/>
  <c r="H7" i="10" s="1"/>
  <c r="G8" i="10"/>
  <c r="H8" i="10" s="1"/>
  <c r="G9" i="10"/>
  <c r="H9" i="10" s="1"/>
  <c r="G10" i="10"/>
  <c r="H10" i="10" s="1"/>
  <c r="G11" i="10"/>
  <c r="H11" i="10" s="1"/>
  <c r="G12" i="10"/>
  <c r="G13" i="10"/>
  <c r="H13" i="10" s="1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H19" i="10" s="1"/>
  <c r="G20" i="10"/>
  <c r="H20" i="10" s="1"/>
  <c r="G21" i="10"/>
  <c r="H21" i="10" s="1"/>
  <c r="G22" i="10"/>
  <c r="H22" i="10" s="1"/>
  <c r="G23" i="10"/>
  <c r="H23" i="10" s="1"/>
  <c r="G24" i="10"/>
  <c r="H24" i="10" s="1"/>
  <c r="G25" i="10"/>
  <c r="H25" i="10" s="1"/>
  <c r="G26" i="10"/>
  <c r="H26" i="10" s="1"/>
  <c r="G27" i="10"/>
  <c r="H27" i="10" s="1"/>
  <c r="G28" i="10"/>
  <c r="H28" i="10" s="1"/>
  <c r="G29" i="10"/>
  <c r="H29" i="10" s="1"/>
  <c r="G30" i="10"/>
  <c r="H30" i="10" s="1"/>
  <c r="G31" i="10"/>
  <c r="H31" i="10" s="1"/>
  <c r="G32" i="10"/>
  <c r="H32" i="10" s="1"/>
  <c r="G33" i="10"/>
  <c r="H33" i="10" s="1"/>
  <c r="G34" i="10"/>
  <c r="H34" i="10" s="1"/>
  <c r="G35" i="10"/>
  <c r="H35" i="10" s="1"/>
  <c r="G36" i="10"/>
  <c r="H36" i="10" s="1"/>
  <c r="G37" i="10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G45" i="10"/>
  <c r="G46" i="10"/>
  <c r="H46" i="10" s="1"/>
  <c r="G47" i="10"/>
  <c r="H47" i="10" s="1"/>
  <c r="G48" i="10"/>
  <c r="H48" i="10" s="1"/>
  <c r="G49" i="10"/>
  <c r="H49" i="10" s="1"/>
  <c r="G50" i="10"/>
  <c r="H50" i="10" s="1"/>
  <c r="G51" i="10"/>
  <c r="H51" i="10" s="1"/>
  <c r="G52" i="10"/>
  <c r="H52" i="10" s="1"/>
  <c r="G53" i="10"/>
  <c r="H53" i="10" s="1"/>
  <c r="G54" i="10"/>
  <c r="H54" i="10" s="1"/>
  <c r="G55" i="10"/>
  <c r="H55" i="10" s="1"/>
  <c r="G56" i="10"/>
  <c r="H56" i="10" s="1"/>
  <c r="G57" i="10"/>
  <c r="H57" i="10" s="1"/>
  <c r="G58" i="10"/>
  <c r="H58" i="10" s="1"/>
  <c r="G59" i="10"/>
  <c r="H59" i="10" s="1"/>
  <c r="G60" i="10"/>
  <c r="H60" i="10" s="1"/>
  <c r="G61" i="10"/>
  <c r="H61" i="10" s="1"/>
  <c r="G62" i="10"/>
  <c r="H62" i="10" s="1"/>
  <c r="G63" i="10"/>
  <c r="H63" i="10" s="1"/>
  <c r="G64" i="10"/>
  <c r="H64" i="10" s="1"/>
  <c r="G65" i="10"/>
  <c r="H65" i="10" s="1"/>
  <c r="G66" i="10"/>
  <c r="H66" i="10" s="1"/>
  <c r="G67" i="10"/>
  <c r="H67" i="10" s="1"/>
  <c r="G68" i="10"/>
  <c r="H68" i="10" s="1"/>
  <c r="G69" i="10"/>
  <c r="H69" i="10" s="1"/>
  <c r="G70" i="10"/>
  <c r="H70" i="10" s="1"/>
  <c r="G71" i="10"/>
  <c r="H71" i="10" s="1"/>
  <c r="G72" i="10"/>
  <c r="H72" i="10" s="1"/>
  <c r="G73" i="10"/>
  <c r="H73" i="10" s="1"/>
  <c r="G74" i="10"/>
  <c r="H74" i="10" s="1"/>
  <c r="G75" i="10"/>
  <c r="H75" i="10" s="1"/>
  <c r="G76" i="10"/>
  <c r="G77" i="10"/>
  <c r="G78" i="10"/>
  <c r="H78" i="10" s="1"/>
  <c r="G79" i="10"/>
  <c r="H79" i="10" s="1"/>
  <c r="G80" i="10"/>
  <c r="H80" i="10" s="1"/>
  <c r="G81" i="10"/>
  <c r="H81" i="10" s="1"/>
  <c r="G82" i="10"/>
  <c r="H82" i="10" s="1"/>
  <c r="G83" i="10"/>
  <c r="H83" i="10" s="1"/>
  <c r="G84" i="10"/>
  <c r="H84" i="10" s="1"/>
  <c r="G85" i="10"/>
  <c r="H85" i="10" s="1"/>
  <c r="G4" i="10"/>
  <c r="H4" i="10" s="1"/>
  <c r="Q20" i="10"/>
  <c r="Q21" i="10"/>
  <c r="Q62" i="10"/>
  <c r="Q67" i="10"/>
  <c r="Q73" i="10"/>
  <c r="Q74" i="10"/>
  <c r="Q83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3" i="10"/>
  <c r="P64" i="10"/>
  <c r="P65" i="10"/>
  <c r="P66" i="10"/>
  <c r="P68" i="10"/>
  <c r="P69" i="10"/>
  <c r="P70" i="10"/>
  <c r="P71" i="10"/>
  <c r="P72" i="10"/>
  <c r="P75" i="10"/>
  <c r="P76" i="10"/>
  <c r="P77" i="10"/>
  <c r="P78" i="10"/>
  <c r="P79" i="10"/>
  <c r="P80" i="10"/>
  <c r="P81" i="10"/>
  <c r="P82" i="10"/>
  <c r="P84" i="10"/>
  <c r="P85" i="10"/>
  <c r="Q85" i="10" s="1"/>
  <c r="P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3" i="10"/>
  <c r="O64" i="10"/>
  <c r="O65" i="10"/>
  <c r="O66" i="10"/>
  <c r="O68" i="10"/>
  <c r="O69" i="10"/>
  <c r="O70" i="10"/>
  <c r="O71" i="10"/>
  <c r="O72" i="10"/>
  <c r="O75" i="10"/>
  <c r="O76" i="10"/>
  <c r="O77" i="10"/>
  <c r="O78" i="10"/>
  <c r="O79" i="10"/>
  <c r="O80" i="10"/>
  <c r="O81" i="10"/>
  <c r="O82" i="10"/>
  <c r="O84" i="10"/>
  <c r="O4" i="10"/>
  <c r="E83" i="10"/>
  <c r="D20" i="10"/>
  <c r="E20" i="10" s="1"/>
  <c r="D21" i="10"/>
  <c r="E21" i="10" s="1"/>
  <c r="D62" i="10"/>
  <c r="E62" i="10" s="1"/>
  <c r="D64" i="10"/>
  <c r="E64" i="10" s="1"/>
  <c r="D67" i="10"/>
  <c r="E67" i="10" s="1"/>
  <c r="D73" i="10"/>
  <c r="E73" i="10" s="1"/>
  <c r="D74" i="10"/>
  <c r="E74" i="10" s="1"/>
  <c r="D83" i="10"/>
  <c r="D85" i="10"/>
  <c r="E85" i="10" s="1"/>
  <c r="C5" i="10"/>
  <c r="D5" i="10" s="1"/>
  <c r="E5" i="10" s="1"/>
  <c r="C6" i="10"/>
  <c r="D6" i="10" s="1"/>
  <c r="E6" i="10" s="1"/>
  <c r="C7" i="10"/>
  <c r="D7" i="10" s="1"/>
  <c r="E7" i="10" s="1"/>
  <c r="C8" i="10"/>
  <c r="D8" i="10" s="1"/>
  <c r="E8" i="10" s="1"/>
  <c r="C9" i="10"/>
  <c r="D9" i="10" s="1"/>
  <c r="E9" i="10" s="1"/>
  <c r="C10" i="10"/>
  <c r="D10" i="10" s="1"/>
  <c r="E10" i="10" s="1"/>
  <c r="C11" i="10"/>
  <c r="D11" i="10" s="1"/>
  <c r="E11" i="10" s="1"/>
  <c r="C12" i="10"/>
  <c r="D12" i="10" s="1"/>
  <c r="E12" i="10" s="1"/>
  <c r="C13" i="10"/>
  <c r="D13" i="10" s="1"/>
  <c r="E13" i="10" s="1"/>
  <c r="C14" i="10"/>
  <c r="D14" i="10" s="1"/>
  <c r="E14" i="10" s="1"/>
  <c r="C15" i="10"/>
  <c r="D15" i="10" s="1"/>
  <c r="E15" i="10" s="1"/>
  <c r="C16" i="10"/>
  <c r="D16" i="10" s="1"/>
  <c r="E16" i="10" s="1"/>
  <c r="C17" i="10"/>
  <c r="D17" i="10" s="1"/>
  <c r="E17" i="10" s="1"/>
  <c r="C18" i="10"/>
  <c r="D18" i="10" s="1"/>
  <c r="E18" i="10" s="1"/>
  <c r="C19" i="10"/>
  <c r="D19" i="10" s="1"/>
  <c r="E19" i="10" s="1"/>
  <c r="C22" i="10"/>
  <c r="D22" i="10" s="1"/>
  <c r="E22" i="10" s="1"/>
  <c r="C23" i="10"/>
  <c r="D23" i="10" s="1"/>
  <c r="E23" i="10" s="1"/>
  <c r="C24" i="10"/>
  <c r="D24" i="10" s="1"/>
  <c r="E24" i="10" s="1"/>
  <c r="C25" i="10"/>
  <c r="D25" i="10" s="1"/>
  <c r="E25" i="10" s="1"/>
  <c r="C26" i="10"/>
  <c r="D26" i="10" s="1"/>
  <c r="E26" i="10" s="1"/>
  <c r="C27" i="10"/>
  <c r="D27" i="10" s="1"/>
  <c r="E27" i="10" s="1"/>
  <c r="C28" i="10"/>
  <c r="D28" i="10" s="1"/>
  <c r="E28" i="10" s="1"/>
  <c r="C29" i="10"/>
  <c r="D29" i="10" s="1"/>
  <c r="E29" i="10" s="1"/>
  <c r="C30" i="10"/>
  <c r="D30" i="10" s="1"/>
  <c r="E30" i="10" s="1"/>
  <c r="C31" i="10"/>
  <c r="D31" i="10" s="1"/>
  <c r="E31" i="10" s="1"/>
  <c r="C32" i="10"/>
  <c r="D32" i="10" s="1"/>
  <c r="E32" i="10" s="1"/>
  <c r="C33" i="10"/>
  <c r="D33" i="10" s="1"/>
  <c r="E33" i="10" s="1"/>
  <c r="C34" i="10"/>
  <c r="D34" i="10" s="1"/>
  <c r="E34" i="10" s="1"/>
  <c r="C35" i="10"/>
  <c r="D35" i="10" s="1"/>
  <c r="E35" i="10" s="1"/>
  <c r="C36" i="10"/>
  <c r="D36" i="10" s="1"/>
  <c r="E36" i="10" s="1"/>
  <c r="C37" i="10"/>
  <c r="D37" i="10" s="1"/>
  <c r="E37" i="10" s="1"/>
  <c r="C38" i="10"/>
  <c r="D38" i="10" s="1"/>
  <c r="E38" i="10" s="1"/>
  <c r="C39" i="10"/>
  <c r="D39" i="10" s="1"/>
  <c r="E39" i="10" s="1"/>
  <c r="C40" i="10"/>
  <c r="D40" i="10" s="1"/>
  <c r="E40" i="10" s="1"/>
  <c r="C41" i="10"/>
  <c r="D41" i="10" s="1"/>
  <c r="E41" i="10" s="1"/>
  <c r="C42" i="10"/>
  <c r="D42" i="10" s="1"/>
  <c r="E42" i="10" s="1"/>
  <c r="C43" i="10"/>
  <c r="D43" i="10" s="1"/>
  <c r="E43" i="10" s="1"/>
  <c r="C44" i="10"/>
  <c r="D44" i="10" s="1"/>
  <c r="E44" i="10" s="1"/>
  <c r="C45" i="10"/>
  <c r="D45" i="10" s="1"/>
  <c r="E45" i="10" s="1"/>
  <c r="C46" i="10"/>
  <c r="D46" i="10" s="1"/>
  <c r="E46" i="10" s="1"/>
  <c r="C47" i="10"/>
  <c r="D47" i="10" s="1"/>
  <c r="E47" i="10" s="1"/>
  <c r="C48" i="10"/>
  <c r="D48" i="10" s="1"/>
  <c r="E48" i="10" s="1"/>
  <c r="C49" i="10"/>
  <c r="D49" i="10" s="1"/>
  <c r="E49" i="10" s="1"/>
  <c r="C50" i="10"/>
  <c r="D50" i="10" s="1"/>
  <c r="E50" i="10" s="1"/>
  <c r="C51" i="10"/>
  <c r="D51" i="10" s="1"/>
  <c r="E51" i="10" s="1"/>
  <c r="C52" i="10"/>
  <c r="D52" i="10" s="1"/>
  <c r="E52" i="10" s="1"/>
  <c r="C53" i="10"/>
  <c r="D53" i="10" s="1"/>
  <c r="E53" i="10" s="1"/>
  <c r="C54" i="10"/>
  <c r="D54" i="10" s="1"/>
  <c r="E54" i="10" s="1"/>
  <c r="C55" i="10"/>
  <c r="D55" i="10" s="1"/>
  <c r="E55" i="10" s="1"/>
  <c r="C56" i="10"/>
  <c r="D56" i="10" s="1"/>
  <c r="E56" i="10" s="1"/>
  <c r="C57" i="10"/>
  <c r="D57" i="10" s="1"/>
  <c r="E57" i="10" s="1"/>
  <c r="C58" i="10"/>
  <c r="D58" i="10" s="1"/>
  <c r="E58" i="10" s="1"/>
  <c r="C59" i="10"/>
  <c r="D59" i="10" s="1"/>
  <c r="E59" i="10" s="1"/>
  <c r="C60" i="10"/>
  <c r="D60" i="10" s="1"/>
  <c r="E60" i="10" s="1"/>
  <c r="C61" i="10"/>
  <c r="D61" i="10" s="1"/>
  <c r="E61" i="10" s="1"/>
  <c r="C63" i="10"/>
  <c r="D63" i="10" s="1"/>
  <c r="E63" i="10" s="1"/>
  <c r="C64" i="10"/>
  <c r="C65" i="10"/>
  <c r="D65" i="10" s="1"/>
  <c r="E65" i="10" s="1"/>
  <c r="C66" i="10"/>
  <c r="D66" i="10" s="1"/>
  <c r="E66" i="10" s="1"/>
  <c r="C68" i="10"/>
  <c r="D68" i="10" s="1"/>
  <c r="E68" i="10" s="1"/>
  <c r="C69" i="10"/>
  <c r="D69" i="10" s="1"/>
  <c r="E69" i="10" s="1"/>
  <c r="C70" i="10"/>
  <c r="D70" i="10" s="1"/>
  <c r="E70" i="10" s="1"/>
  <c r="C71" i="10"/>
  <c r="D71" i="10" s="1"/>
  <c r="E71" i="10" s="1"/>
  <c r="C72" i="10"/>
  <c r="D72" i="10" s="1"/>
  <c r="E72" i="10" s="1"/>
  <c r="C75" i="10"/>
  <c r="D75" i="10" s="1"/>
  <c r="E75" i="10" s="1"/>
  <c r="C76" i="10"/>
  <c r="D76" i="10" s="1"/>
  <c r="E76" i="10" s="1"/>
  <c r="C77" i="10"/>
  <c r="D77" i="10" s="1"/>
  <c r="E77" i="10" s="1"/>
  <c r="C78" i="10"/>
  <c r="D78" i="10" s="1"/>
  <c r="E78" i="10" s="1"/>
  <c r="C79" i="10"/>
  <c r="D79" i="10" s="1"/>
  <c r="E79" i="10" s="1"/>
  <c r="C80" i="10"/>
  <c r="D80" i="10" s="1"/>
  <c r="E80" i="10" s="1"/>
  <c r="C81" i="10"/>
  <c r="D81" i="10" s="1"/>
  <c r="E81" i="10" s="1"/>
  <c r="C82" i="10"/>
  <c r="D82" i="10" s="1"/>
  <c r="E82" i="10" s="1"/>
  <c r="C84" i="10"/>
  <c r="D84" i="10" s="1"/>
  <c r="E84" i="10" s="1"/>
  <c r="C4" i="10"/>
  <c r="D4" i="10" s="1"/>
  <c r="E4" i="10" s="1"/>
  <c r="Q4" i="10" l="1"/>
  <c r="Q77" i="10"/>
  <c r="Q66" i="10"/>
  <c r="Q57" i="10"/>
  <c r="Q49" i="10"/>
  <c r="Q41" i="10"/>
  <c r="Q33" i="10"/>
  <c r="Q25" i="10"/>
  <c r="Q15" i="10"/>
  <c r="Q7" i="10"/>
  <c r="Q76" i="10"/>
  <c r="Q65" i="10"/>
  <c r="Q56" i="10"/>
  <c r="Q48" i="10"/>
  <c r="Q40" i="10"/>
  <c r="Q32" i="10"/>
  <c r="Q24" i="10"/>
  <c r="Q14" i="10"/>
  <c r="Q6" i="10"/>
  <c r="Q84" i="10"/>
  <c r="Q75" i="10"/>
  <c r="Q64" i="10"/>
  <c r="Q55" i="10"/>
  <c r="Q47" i="10"/>
  <c r="Q39" i="10"/>
  <c r="Q31" i="10"/>
  <c r="Q23" i="10"/>
  <c r="Q13" i="10"/>
  <c r="Q5" i="10"/>
  <c r="Q82" i="10"/>
  <c r="Q72" i="10"/>
  <c r="Q63" i="10"/>
  <c r="Q54" i="10"/>
  <c r="Q46" i="10"/>
  <c r="Q38" i="10"/>
  <c r="Q30" i="10"/>
  <c r="Q22" i="10"/>
  <c r="Q12" i="10"/>
  <c r="Q81" i="10"/>
  <c r="Q71" i="10"/>
  <c r="Q61" i="10"/>
  <c r="Q53" i="10"/>
  <c r="Q45" i="10"/>
  <c r="Q37" i="10"/>
  <c r="Q29" i="10"/>
  <c r="Q19" i="10"/>
  <c r="Q11" i="10"/>
  <c r="Q80" i="10"/>
  <c r="Q70" i="10"/>
  <c r="Q60" i="10"/>
  <c r="Q52" i="10"/>
  <c r="Q44" i="10"/>
  <c r="Q36" i="10"/>
  <c r="Q28" i="10"/>
  <c r="Q18" i="10"/>
  <c r="Q10" i="10"/>
  <c r="Q79" i="10"/>
  <c r="Q69" i="10"/>
  <c r="Q59" i="10"/>
  <c r="Q51" i="10"/>
  <c r="Q43" i="10"/>
  <c r="Q35" i="10"/>
  <c r="Q27" i="10"/>
  <c r="Q17" i="10"/>
  <c r="Q9" i="10"/>
  <c r="Q78" i="10"/>
  <c r="Q68" i="10"/>
  <c r="Q58" i="10"/>
  <c r="Q50" i="10"/>
  <c r="Q42" i="10"/>
  <c r="Q34" i="10"/>
  <c r="Q26" i="10"/>
  <c r="Q16" i="10"/>
  <c r="Q8" i="10"/>
  <c r="J92" i="10"/>
  <c r="J88" i="10"/>
  <c r="N87" i="10"/>
  <c r="J87" i="10"/>
  <c r="L88" i="10"/>
  <c r="N85" i="10"/>
  <c r="N82" i="10"/>
  <c r="N81" i="10"/>
  <c r="N70" i="10"/>
  <c r="N63" i="10"/>
  <c r="N62" i="10"/>
  <c r="N60" i="10"/>
  <c r="N52" i="10"/>
  <c r="N49" i="10"/>
  <c r="N48" i="10"/>
  <c r="N28" i="10"/>
  <c r="N25" i="10"/>
  <c r="N17" i="10"/>
  <c r="N13" i="10"/>
  <c r="N12" i="10"/>
  <c r="N10" i="10"/>
  <c r="N11" i="10" l="1"/>
  <c r="N15" i="10"/>
  <c r="N9" i="10"/>
  <c r="N6" i="10"/>
  <c r="N5" i="10"/>
  <c r="N7" i="10"/>
  <c r="N8" i="10"/>
  <c r="N20" i="10"/>
  <c r="N27" i="10"/>
  <c r="N33" i="10"/>
  <c r="N21" i="10"/>
  <c r="N22" i="10"/>
  <c r="N34" i="10"/>
  <c r="N35" i="10"/>
  <c r="N38" i="10"/>
  <c r="N14" i="10"/>
  <c r="N23" i="10"/>
  <c r="N24" i="10"/>
  <c r="N29" i="10"/>
  <c r="N16" i="10"/>
  <c r="N30" i="10"/>
  <c r="N18" i="10"/>
  <c r="N19" i="10"/>
  <c r="N26" i="10"/>
  <c r="N31" i="10"/>
  <c r="N32" i="10"/>
  <c r="N36" i="10"/>
  <c r="N55" i="10"/>
  <c r="N40" i="10"/>
  <c r="N43" i="10"/>
  <c r="N57" i="10"/>
  <c r="N50" i="10"/>
  <c r="N59" i="10"/>
  <c r="N47" i="10"/>
  <c r="N51" i="10"/>
  <c r="N53" i="10"/>
  <c r="N54" i="10"/>
  <c r="N37" i="10"/>
  <c r="N39" i="10"/>
  <c r="N56" i="10"/>
  <c r="N41" i="10"/>
  <c r="N45" i="10"/>
  <c r="N58" i="10"/>
  <c r="N44" i="10"/>
  <c r="N42" i="10"/>
  <c r="N46" i="10"/>
  <c r="N64" i="10"/>
  <c r="N73" i="10"/>
  <c r="N75" i="10"/>
  <c r="N77" i="10"/>
  <c r="N69" i="10"/>
  <c r="N71" i="10"/>
  <c r="N78" i="10"/>
  <c r="N67" i="10"/>
  <c r="N79" i="10"/>
  <c r="N76" i="10"/>
  <c r="N80" i="10"/>
  <c r="N65" i="10"/>
  <c r="N66" i="10"/>
  <c r="N68" i="10"/>
  <c r="N72" i="10"/>
  <c r="N74" i="10"/>
  <c r="N61" i="10"/>
  <c r="N83" i="10"/>
  <c r="N84" i="10"/>
  <c r="L87" i="10"/>
  <c r="I88" i="10"/>
  <c r="N88" i="10" l="1"/>
  <c r="N4" i="10"/>
  <c r="O91" i="3" l="1"/>
  <c r="O80" i="3"/>
  <c r="O93" i="3"/>
  <c r="O7" i="3"/>
  <c r="O5" i="3"/>
  <c r="O8" i="3"/>
  <c r="O12" i="3"/>
  <c r="O13" i="3"/>
  <c r="O14" i="3"/>
  <c r="O18" i="3"/>
  <c r="O21" i="3"/>
  <c r="O22" i="3"/>
  <c r="O26" i="3"/>
  <c r="O28" i="3"/>
  <c r="O29" i="3"/>
  <c r="O33" i="3"/>
  <c r="O34" i="3"/>
  <c r="O36" i="3"/>
  <c r="O37" i="3"/>
  <c r="O38" i="3"/>
  <c r="O40" i="3"/>
  <c r="O41" i="3"/>
  <c r="O42" i="3"/>
  <c r="O44" i="3"/>
  <c r="O45" i="3"/>
  <c r="O46" i="3"/>
  <c r="O48" i="3"/>
  <c r="O49" i="3"/>
  <c r="O52" i="3"/>
  <c r="O53" i="3"/>
  <c r="O54" i="3"/>
  <c r="O67" i="3"/>
  <c r="O64" i="3"/>
  <c r="O60" i="3"/>
  <c r="O62" i="3"/>
  <c r="O57" i="3"/>
  <c r="O68" i="3"/>
  <c r="O71" i="3"/>
  <c r="O72" i="3"/>
  <c r="O76" i="3"/>
  <c r="O77" i="3"/>
  <c r="O79" i="3"/>
  <c r="O86" i="3"/>
  <c r="O87" i="3"/>
  <c r="O89" i="3"/>
  <c r="O90" i="3"/>
  <c r="O88" i="3" l="1"/>
  <c r="O75" i="3"/>
  <c r="O66" i="3"/>
  <c r="O55" i="3"/>
  <c r="O16" i="3"/>
  <c r="O39" i="3"/>
  <c r="O30" i="3"/>
  <c r="O20" i="3"/>
  <c r="O9" i="3"/>
  <c r="O74" i="3"/>
  <c r="O63" i="3"/>
  <c r="O58" i="3"/>
  <c r="O17" i="3"/>
  <c r="O31" i="3"/>
  <c r="O23" i="3"/>
  <c r="O19" i="3"/>
  <c r="O92" i="3"/>
  <c r="O85" i="3"/>
  <c r="O81" i="3"/>
  <c r="O84" i="3"/>
  <c r="O70" i="3"/>
  <c r="O65" i="3"/>
  <c r="O50" i="3"/>
  <c r="O43" i="3"/>
  <c r="O35" i="3"/>
  <c r="O27" i="3"/>
  <c r="O15" i="3"/>
  <c r="O24" i="3"/>
  <c r="O73" i="3"/>
  <c r="N3" i="1"/>
  <c r="G4" i="1"/>
  <c r="N4" i="1" s="1"/>
  <c r="G5" i="1"/>
  <c r="N5" i="1" s="1"/>
  <c r="G6" i="1"/>
  <c r="N6" i="1" s="1"/>
  <c r="G7" i="1"/>
  <c r="N7" i="1" s="1"/>
  <c r="G8" i="1"/>
  <c r="N8" i="1" s="1"/>
  <c r="G9" i="1"/>
  <c r="N9" i="1" s="1"/>
  <c r="G10" i="1"/>
  <c r="N10" i="1" s="1"/>
  <c r="G11" i="1"/>
  <c r="N11" i="1" s="1"/>
  <c r="G12" i="1"/>
  <c r="N12" i="1" s="1"/>
  <c r="G13" i="1"/>
  <c r="N13" i="1" s="1"/>
  <c r="G14" i="1"/>
  <c r="N14" i="1" s="1"/>
  <c r="G15" i="1"/>
  <c r="N15" i="1" s="1"/>
  <c r="G16" i="1"/>
  <c r="N16" i="1" s="1"/>
  <c r="G17" i="1"/>
  <c r="N17" i="1" s="1"/>
  <c r="G18" i="1"/>
  <c r="N18" i="1" s="1"/>
  <c r="G19" i="1"/>
  <c r="N19" i="1" s="1"/>
  <c r="G20" i="1"/>
  <c r="N20" i="1" s="1"/>
  <c r="G21" i="1"/>
  <c r="N21" i="1" s="1"/>
  <c r="G22" i="1"/>
  <c r="N22" i="1" s="1"/>
  <c r="G23" i="1"/>
  <c r="N23" i="1" s="1"/>
  <c r="G24" i="1"/>
  <c r="N24" i="1" s="1"/>
  <c r="G25" i="1"/>
  <c r="N25" i="1" s="1"/>
  <c r="G26" i="1"/>
  <c r="N26" i="1" s="1"/>
  <c r="G27" i="1"/>
  <c r="N27" i="1" s="1"/>
  <c r="G28" i="1"/>
  <c r="N28" i="1" s="1"/>
  <c r="G29" i="1"/>
  <c r="N29" i="1" s="1"/>
  <c r="G30" i="1"/>
  <c r="N30" i="1" s="1"/>
  <c r="G31" i="1"/>
  <c r="N31" i="1" s="1"/>
  <c r="G32" i="1"/>
  <c r="N32" i="1" s="1"/>
  <c r="G33" i="1"/>
  <c r="N33" i="1" s="1"/>
  <c r="G34" i="1"/>
  <c r="N34" i="1" s="1"/>
  <c r="G35" i="1"/>
  <c r="N35" i="1" s="1"/>
  <c r="G36" i="1"/>
  <c r="N36" i="1" s="1"/>
  <c r="G37" i="1"/>
  <c r="N37" i="1" s="1"/>
  <c r="G38" i="1"/>
  <c r="N38" i="1" s="1"/>
  <c r="G39" i="1"/>
  <c r="N39" i="1" s="1"/>
  <c r="G40" i="1"/>
  <c r="N40" i="1" s="1"/>
  <c r="G41" i="1"/>
  <c r="N41" i="1" s="1"/>
  <c r="G42" i="1"/>
  <c r="N42" i="1" s="1"/>
  <c r="G43" i="1"/>
  <c r="N43" i="1" s="1"/>
  <c r="G44" i="1"/>
  <c r="N44" i="1" s="1"/>
  <c r="G45" i="1"/>
  <c r="N45" i="1" s="1"/>
  <c r="G46" i="1"/>
  <c r="N46" i="1" s="1"/>
  <c r="G47" i="1"/>
  <c r="N47" i="1" s="1"/>
  <c r="G48" i="1"/>
  <c r="N48" i="1" s="1"/>
  <c r="G49" i="1"/>
  <c r="N49" i="1" s="1"/>
  <c r="G50" i="1"/>
  <c r="N50" i="1" s="1"/>
  <c r="G51" i="1"/>
  <c r="N51" i="1" s="1"/>
  <c r="G52" i="1"/>
  <c r="N52" i="1" s="1"/>
  <c r="G53" i="1"/>
  <c r="N53" i="1" s="1"/>
  <c r="G54" i="1"/>
  <c r="N54" i="1" s="1"/>
  <c r="G55" i="1"/>
  <c r="N55" i="1" s="1"/>
  <c r="G56" i="1"/>
  <c r="N56" i="1" s="1"/>
  <c r="G57" i="1"/>
  <c r="N57" i="1" s="1"/>
  <c r="G58" i="1"/>
  <c r="N58" i="1" s="1"/>
  <c r="G59" i="1"/>
  <c r="N59" i="1" s="1"/>
  <c r="G60" i="1"/>
  <c r="N60" i="1" s="1"/>
  <c r="G61" i="1"/>
  <c r="N61" i="1" s="1"/>
  <c r="G68" i="1"/>
  <c r="N68" i="1" s="1"/>
  <c r="G72" i="1"/>
  <c r="N72" i="1" s="1"/>
  <c r="G73" i="1"/>
  <c r="N73" i="1" s="1"/>
  <c r="G76" i="1"/>
  <c r="N76" i="1" s="1"/>
  <c r="G77" i="1"/>
  <c r="N77" i="1" s="1"/>
  <c r="G78" i="1"/>
  <c r="N78" i="1" s="1"/>
  <c r="G79" i="1"/>
  <c r="N79" i="1" s="1"/>
  <c r="G80" i="1"/>
  <c r="N80" i="1" s="1"/>
  <c r="G81" i="1"/>
  <c r="N81" i="1" s="1"/>
  <c r="G82" i="1"/>
  <c r="N82" i="1" s="1"/>
  <c r="G83" i="1"/>
  <c r="N83" i="1" s="1"/>
  <c r="G2" i="1"/>
  <c r="N2" i="1" s="1"/>
  <c r="O61" i="3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83" i="1"/>
  <c r="M2" i="1"/>
  <c r="O6" i="3" l="1"/>
  <c r="O10" i="3" l="1"/>
  <c r="J6" i="1" l="1"/>
  <c r="J29" i="1" l="1"/>
  <c r="J41" i="1"/>
  <c r="J22" i="1"/>
  <c r="J59" i="1"/>
  <c r="J37" i="1"/>
  <c r="J16" i="1"/>
  <c r="J58" i="1"/>
  <c r="J52" i="1"/>
  <c r="J46" i="1"/>
  <c r="J40" i="1"/>
  <c r="J36" i="1"/>
  <c r="J33" i="1"/>
  <c r="J28" i="1"/>
  <c r="J21" i="1"/>
  <c r="J15" i="1"/>
  <c r="J8" i="1"/>
  <c r="J83" i="1"/>
  <c r="J49" i="1"/>
  <c r="J39" i="1"/>
  <c r="J25" i="1"/>
  <c r="J18" i="1"/>
  <c r="J12" i="1"/>
  <c r="J5" i="1"/>
  <c r="J55" i="1"/>
  <c r="J48" i="1"/>
  <c r="J44" i="1"/>
  <c r="J35" i="1"/>
  <c r="J32" i="1"/>
  <c r="J17" i="1"/>
  <c r="J11" i="1"/>
  <c r="J4" i="1"/>
  <c r="L39" i="1"/>
  <c r="L30" i="1"/>
  <c r="L19" i="1"/>
  <c r="L29" i="1"/>
  <c r="L37" i="1"/>
  <c r="L26" i="1"/>
  <c r="L23" i="1"/>
  <c r="L12" i="1"/>
  <c r="L5" i="1"/>
  <c r="L36" i="1"/>
  <c r="L25" i="1"/>
  <c r="L22" i="1"/>
  <c r="L18" i="1"/>
  <c r="L15" i="1"/>
  <c r="L11" i="1"/>
  <c r="L8" i="1"/>
  <c r="L4" i="1"/>
  <c r="L2" i="1"/>
  <c r="L38" i="1"/>
  <c r="L35" i="1"/>
  <c r="L32" i="1"/>
  <c r="L28" i="1"/>
  <c r="L21" i="1"/>
  <c r="L17" i="1"/>
  <c r="L14" i="1"/>
  <c r="L10" i="1"/>
  <c r="L7" i="1"/>
  <c r="L3" i="1"/>
  <c r="J61" i="1"/>
  <c r="J57" i="1"/>
  <c r="J54" i="1"/>
  <c r="J51" i="1"/>
  <c r="J47" i="1"/>
  <c r="J45" i="1"/>
  <c r="J43" i="1"/>
  <c r="J38" i="1"/>
  <c r="J34" i="1"/>
  <c r="J31" i="1"/>
  <c r="J27" i="1"/>
  <c r="J24" i="1"/>
  <c r="J20" i="1"/>
  <c r="J14" i="1"/>
  <c r="J10" i="1"/>
  <c r="J7" i="1"/>
  <c r="J3" i="1"/>
  <c r="L33" i="1"/>
  <c r="L16" i="1"/>
  <c r="L34" i="1"/>
  <c r="L31" i="1"/>
  <c r="L27" i="1"/>
  <c r="L24" i="1"/>
  <c r="L20" i="1"/>
  <c r="L13" i="1"/>
  <c r="L9" i="1"/>
  <c r="L6" i="1"/>
  <c r="J2" i="1"/>
  <c r="J60" i="1"/>
  <c r="J56" i="1"/>
  <c r="J53" i="1"/>
  <c r="J50" i="1"/>
  <c r="J42" i="1"/>
  <c r="J30" i="1"/>
  <c r="J26" i="1"/>
  <c r="J23" i="1"/>
  <c r="J19" i="1"/>
  <c r="J13" i="1"/>
  <c r="J9" i="1"/>
  <c r="K61" i="1"/>
  <c r="K24" i="1" l="1"/>
  <c r="K45" i="1"/>
  <c r="K36" i="1"/>
  <c r="K30" i="1"/>
  <c r="K47" i="1"/>
  <c r="K48" i="1"/>
  <c r="K41" i="1"/>
  <c r="K25" i="1"/>
  <c r="K37" i="1"/>
  <c r="K53" i="1"/>
  <c r="K33" i="1"/>
  <c r="K3" i="1"/>
  <c r="K32" i="1"/>
  <c r="K5" i="1"/>
  <c r="K57" i="1"/>
  <c r="K9" i="1"/>
  <c r="K31" i="1"/>
  <c r="K52" i="1"/>
  <c r="K10" i="1"/>
  <c r="K17" i="1"/>
  <c r="K38" i="1"/>
  <c r="K18" i="1"/>
  <c r="K23" i="1"/>
  <c r="K83" i="1"/>
  <c r="K60" i="1"/>
  <c r="K51" i="1"/>
  <c r="K6" i="1"/>
  <c r="K13" i="1"/>
  <c r="K20" i="1"/>
  <c r="K27" i="1"/>
  <c r="K34" i="1"/>
  <c r="K40" i="1"/>
  <c r="K16" i="1"/>
  <c r="K44" i="1"/>
  <c r="K55" i="1"/>
  <c r="K7" i="1"/>
  <c r="K14" i="1"/>
  <c r="K21" i="1"/>
  <c r="K35" i="1"/>
  <c r="K2" i="1"/>
  <c r="K59" i="1"/>
  <c r="K8" i="1"/>
  <c r="K15" i="1"/>
  <c r="K22" i="1"/>
  <c r="K50" i="1"/>
  <c r="K42" i="1"/>
  <c r="K43" i="1"/>
  <c r="K54" i="1"/>
  <c r="K46" i="1"/>
  <c r="K58" i="1"/>
  <c r="K28" i="1"/>
  <c r="K49" i="1"/>
  <c r="K4" i="1"/>
  <c r="K11" i="1"/>
  <c r="K56" i="1"/>
  <c r="K12" i="1"/>
  <c r="K26" i="1"/>
  <c r="K29" i="1"/>
  <c r="K19" i="1"/>
  <c r="K39" i="1"/>
  <c r="H94" i="3" l="1"/>
  <c r="G94" i="3" l="1"/>
  <c r="F94" i="3" l="1"/>
  <c r="E94" i="3" l="1"/>
  <c r="D94" i="3"/>
  <c r="N94" i="3" l="1"/>
  <c r="L94" i="3"/>
  <c r="J94" i="3"/>
  <c r="O82" i="3"/>
  <c r="O69" i="3"/>
  <c r="C94" i="3"/>
  <c r="K94" i="3"/>
  <c r="M94" i="3"/>
  <c r="O78" i="3"/>
  <c r="I94" i="3"/>
  <c r="O94" i="3" l="1"/>
</calcChain>
</file>

<file path=xl/sharedStrings.xml><?xml version="1.0" encoding="utf-8"?>
<sst xmlns="http://schemas.openxmlformats.org/spreadsheetml/2006/main" count="941" uniqueCount="294">
  <si>
    <t>S</t>
  </si>
  <si>
    <t>Stores</t>
  </si>
  <si>
    <t>Sales 2020</t>
  </si>
  <si>
    <t>Share %</t>
  </si>
  <si>
    <t>AIRPORT</t>
  </si>
  <si>
    <t>AL-REHAB</t>
  </si>
  <si>
    <t>AL-SHAHID1</t>
  </si>
  <si>
    <t>AL-SHAHID2</t>
  </si>
  <si>
    <t>CHILLOUT2</t>
  </si>
  <si>
    <t>CITYSCAPE</t>
  </si>
  <si>
    <t>GREEN PARK</t>
  </si>
  <si>
    <t>K27</t>
  </si>
  <si>
    <t>M3Morah</t>
  </si>
  <si>
    <t>MADINTY1</t>
  </si>
  <si>
    <t>MADINTY2</t>
  </si>
  <si>
    <t>MADINTY3</t>
  </si>
  <si>
    <t>MERGHANY</t>
  </si>
  <si>
    <t>Nakheel</t>
  </si>
  <si>
    <t>NOBARIA</t>
  </si>
  <si>
    <t>WAHA2</t>
  </si>
  <si>
    <t>ISMAILIA_GATE</t>
  </si>
  <si>
    <t>Total</t>
  </si>
  <si>
    <t>Month</t>
  </si>
  <si>
    <t>Rank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</si>
  <si>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</si>
  <si>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</si>
  <si>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</si>
  <si>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</si>
  <si>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</si>
  <si>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</si>
  <si>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</si>
  <si>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</si>
  <si>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</si>
  <si>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</si>
  <si>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</si>
  <si>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</si>
  <si>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Turnover 2022</t>
  </si>
  <si>
    <t>Total per store</t>
  </si>
  <si>
    <t>Monthly Av</t>
  </si>
  <si>
    <t>Total Full Year</t>
  </si>
  <si>
    <t>Diff</t>
  </si>
  <si>
    <t>TMT</t>
  </si>
  <si>
    <t>Franchise</t>
  </si>
  <si>
    <t>Share % (2022)</t>
  </si>
  <si>
    <t>Sales 2021(till Nov)</t>
  </si>
  <si>
    <t>Sales 2021 Total</t>
  </si>
  <si>
    <t>ElObour1</t>
  </si>
  <si>
    <t>CFC</t>
  </si>
  <si>
    <t>Dolphin</t>
  </si>
  <si>
    <t>Shazly</t>
  </si>
  <si>
    <t>Dunes</t>
  </si>
  <si>
    <t>Hegaz</t>
  </si>
  <si>
    <t>Sheraton</t>
  </si>
  <si>
    <t>Heliopolis</t>
  </si>
  <si>
    <t>Elshams</t>
  </si>
  <si>
    <t>NewDamietta</t>
  </si>
  <si>
    <t>Elnahas2</t>
  </si>
  <si>
    <t>Bue</t>
  </si>
  <si>
    <t>Elsanhoury2</t>
  </si>
  <si>
    <t>Jehan</t>
  </si>
  <si>
    <t>MarseiliaBeach4</t>
  </si>
  <si>
    <t>UH</t>
  </si>
  <si>
    <t>Elsanhoury1</t>
  </si>
  <si>
    <t>AUC</t>
  </si>
  <si>
    <t>TenthOfRamadan</t>
  </si>
  <si>
    <t>Diff Full Year</t>
  </si>
  <si>
    <t>Diff Actual</t>
  </si>
  <si>
    <t>Sales 2022 Total</t>
  </si>
  <si>
    <t>MIDOR</t>
  </si>
  <si>
    <t>SHAZLY</t>
  </si>
  <si>
    <t>NAKHEEL</t>
  </si>
  <si>
    <t>HEGAZ</t>
  </si>
  <si>
    <t>SHERATON</t>
  </si>
  <si>
    <t>SHERATON WALK</t>
  </si>
  <si>
    <t>HELIOPOLIS</t>
  </si>
  <si>
    <t>ELSHAMS</t>
  </si>
  <si>
    <t>ROXY</t>
  </si>
  <si>
    <t>ELOBOUR1</t>
  </si>
  <si>
    <t>BUE</t>
  </si>
  <si>
    <t>JEHAN</t>
  </si>
  <si>
    <t>BATRAWI1</t>
  </si>
  <si>
    <t>BATRAWI2</t>
  </si>
  <si>
    <t>ELNAHAS2</t>
  </si>
  <si>
    <t>ELSANHOURY1</t>
  </si>
  <si>
    <t>ELSANHOURY2</t>
  </si>
  <si>
    <t>PGardens</t>
  </si>
  <si>
    <t>ALSHOROUK</t>
  </si>
  <si>
    <t>DOKKI</t>
  </si>
  <si>
    <t>MOHARAMBEK</t>
  </si>
  <si>
    <t>ISMAILIA_GATE2</t>
  </si>
  <si>
    <t>NEWDAMIETTA</t>
  </si>
  <si>
    <t>DUNES</t>
  </si>
  <si>
    <t>SODIC_WMC</t>
  </si>
  <si>
    <t>DOLPHIN</t>
  </si>
  <si>
    <t>ALEX_GATE</t>
  </si>
  <si>
    <t>Share 2023 %</t>
  </si>
  <si>
    <t>Share % 2021</t>
  </si>
  <si>
    <t>Share % 2022</t>
  </si>
  <si>
    <t>BatrawI2</t>
  </si>
  <si>
    <t>BatrawI1</t>
  </si>
  <si>
    <t>G7</t>
  </si>
  <si>
    <t>K21</t>
  </si>
  <si>
    <t>Chillout_Sharm</t>
  </si>
  <si>
    <t>Police_Academy</t>
  </si>
  <si>
    <t>BLUEPARK</t>
  </si>
  <si>
    <t>GR Value</t>
  </si>
  <si>
    <t>GR %</t>
  </si>
  <si>
    <t>Final Sales Budget of 2023</t>
  </si>
  <si>
    <t>Sales 2023 Total</t>
  </si>
  <si>
    <t>Sadat</t>
  </si>
  <si>
    <t>Tanta</t>
  </si>
  <si>
    <t>JOSIP</t>
  </si>
  <si>
    <t>NEWCAPITAL</t>
  </si>
  <si>
    <t>AlAHLY1</t>
  </si>
  <si>
    <t>SHINZO1</t>
  </si>
  <si>
    <t>SHINZO2</t>
  </si>
  <si>
    <t>CHILLOUT_TAYARAN</t>
  </si>
  <si>
    <t>ALAMEIN3</t>
  </si>
  <si>
    <t>AlAHLY2</t>
  </si>
  <si>
    <t>ASSIUT</t>
  </si>
  <si>
    <t>AlAmein4</t>
  </si>
  <si>
    <t>Shinzo3</t>
  </si>
  <si>
    <t>Kersh</t>
  </si>
  <si>
    <t>TRUMPH</t>
  </si>
  <si>
    <t>Growth% 2022</t>
  </si>
  <si>
    <t>Growth% 2023</t>
  </si>
  <si>
    <t>Final Sales Budget of 2024</t>
  </si>
  <si>
    <t>Growth Update %</t>
  </si>
  <si>
    <t>Actual 2023</t>
  </si>
  <si>
    <t>Turnover 2023</t>
  </si>
  <si>
    <t>Budget 2024</t>
  </si>
  <si>
    <t>Share % (2023)</t>
  </si>
  <si>
    <t>Share 2024 %</t>
  </si>
  <si>
    <t>Mar-2024 (6.66%)</t>
  </si>
  <si>
    <t>Mar-2025</t>
  </si>
  <si>
    <t>Apr-2024 (6.23%)</t>
  </si>
  <si>
    <t>Apr-2025</t>
  </si>
  <si>
    <t>Sales 2024 Total</t>
  </si>
  <si>
    <t>Target 2025</t>
  </si>
  <si>
    <t>K38</t>
  </si>
  <si>
    <t>Kafrawy</t>
  </si>
  <si>
    <t>Kafrawy2</t>
  </si>
  <si>
    <t>TahiaMisr2</t>
  </si>
  <si>
    <t>Adeer</t>
  </si>
  <si>
    <t>Damietta2</t>
  </si>
  <si>
    <t>Assuit2</t>
  </si>
  <si>
    <t>ELMAX</t>
  </si>
  <si>
    <t>Mivida2</t>
  </si>
  <si>
    <t>SuperJet</t>
  </si>
  <si>
    <t>Gesr</t>
  </si>
  <si>
    <t>ElGabakhana</t>
  </si>
  <si>
    <t>Maadi Mobil</t>
  </si>
  <si>
    <t>Kafr El-Shaikh 2</t>
  </si>
  <si>
    <t>Growth% 2024</t>
  </si>
  <si>
    <t>Sales Budget of 2025</t>
  </si>
  <si>
    <t>AlAhly1</t>
  </si>
  <si>
    <t>Roxy</t>
  </si>
  <si>
    <t>Bluepark</t>
  </si>
  <si>
    <t>CITYMARK</t>
  </si>
  <si>
    <t>Pgardens</t>
  </si>
  <si>
    <t>TivoliDome</t>
  </si>
  <si>
    <t>Dokki</t>
  </si>
  <si>
    <t>MoharamBek</t>
  </si>
  <si>
    <t>Alex_Gate</t>
  </si>
  <si>
    <t>FUE</t>
  </si>
  <si>
    <t>AlAmein3</t>
  </si>
  <si>
    <t>Midor</t>
  </si>
  <si>
    <t>Alahly2</t>
  </si>
  <si>
    <t>Chillout_Tayaran</t>
  </si>
  <si>
    <t>Josip</t>
  </si>
  <si>
    <t>Nostalgia</t>
  </si>
  <si>
    <t>NewCapital</t>
  </si>
  <si>
    <t>Autostorad</t>
  </si>
  <si>
    <t>Ismailia_Gate2</t>
  </si>
  <si>
    <t>Sheraton walk</t>
  </si>
  <si>
    <t>Sodic_WMC</t>
  </si>
  <si>
    <t>Batrawi1</t>
  </si>
  <si>
    <t>Batrawi2</t>
  </si>
  <si>
    <t>Shinzo2</t>
  </si>
  <si>
    <t>Shinzo1</t>
  </si>
  <si>
    <t>Assiut</t>
  </si>
  <si>
    <t>AlShorouk</t>
  </si>
  <si>
    <t>sales 1-4 to 8-4</t>
  </si>
  <si>
    <t>sales 14-4 to 21-4</t>
  </si>
  <si>
    <t>Sales 2022 Vs Sales 2023 (TMT)</t>
  </si>
  <si>
    <t>TMT Budget 2023  Vs Actual 2022 (TMT)</t>
  </si>
  <si>
    <t>Gross%</t>
  </si>
  <si>
    <t>Gross value</t>
  </si>
  <si>
    <t>Chillout El Horeya (26-12-2024)</t>
  </si>
  <si>
    <t>Smart Village(29-12-2024)</t>
  </si>
  <si>
    <t>K23 (19-1-2025)</t>
  </si>
  <si>
    <t>Achieved</t>
  </si>
  <si>
    <t>Var +/-</t>
  </si>
  <si>
    <t>Total Budget</t>
  </si>
  <si>
    <t>Total Achieved</t>
  </si>
  <si>
    <t>Sheraton_Stirp (29-12-2024)</t>
  </si>
  <si>
    <t>Madinaty_Strip (12-12-2024)</t>
  </si>
  <si>
    <t>AlWaha_City (30-5-2025)</t>
  </si>
  <si>
    <t>Uptown (26-5-2025)</t>
  </si>
  <si>
    <t>Marina_Walk (22-6-2025)</t>
  </si>
  <si>
    <t>Elle_Marina5 (1-7-2025)</t>
  </si>
  <si>
    <t>MidTown (27-7-2025)</t>
  </si>
  <si>
    <t>Zamalek_MP(15-1-2025)</t>
  </si>
  <si>
    <t>ChampsElysees (30-9-2025)</t>
  </si>
  <si>
    <t>UH_HUB (31-10-2025)</t>
  </si>
  <si>
    <t>Wesal1(1-12-1025)</t>
  </si>
  <si>
    <t>Mivida3 (8-11-2025)</t>
  </si>
  <si>
    <t>M_Nasr1 (5-12-2025)</t>
  </si>
  <si>
    <t>Park_Lagoon (8-12-2025)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</si>
  <si>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</si>
  <si>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</si>
  <si>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</si>
  <si>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</si>
  <si>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</si>
  <si>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</si>
  <si>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</si>
  <si>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</si>
  <si>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</si>
  <si>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</si>
  <si>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</si>
  <si>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</si>
  <si>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Sales 2025 Total</t>
  </si>
  <si>
    <t>Smart</t>
  </si>
  <si>
    <t>Zamalek_MP</t>
  </si>
  <si>
    <t>Marina_Walk</t>
  </si>
  <si>
    <t>Madinaty_Strip</t>
  </si>
  <si>
    <t>Chillout_ElHorya</t>
  </si>
  <si>
    <t>Sheraton_Stirp</t>
  </si>
  <si>
    <t>K23</t>
  </si>
  <si>
    <t>MidTown</t>
  </si>
  <si>
    <t>UPTOWN</t>
  </si>
  <si>
    <t>ChampsElysees</t>
  </si>
  <si>
    <t xml:space="preserve">Actua Jan-2026 </t>
  </si>
  <si>
    <t>Actual Feb-2026</t>
  </si>
  <si>
    <t xml:space="preserve"> Feb-2026</t>
  </si>
  <si>
    <t>Actual Mar-2026</t>
  </si>
  <si>
    <t xml:space="preserve"> Mar-2026</t>
  </si>
  <si>
    <t>Actual Apr-2026</t>
  </si>
  <si>
    <t xml:space="preserve"> Apr-2026</t>
  </si>
  <si>
    <t xml:space="preserve">Actual May-2026 </t>
  </si>
  <si>
    <t xml:space="preserve"> May-2026</t>
  </si>
  <si>
    <t xml:space="preserve"> Jun-2026</t>
  </si>
  <si>
    <t xml:space="preserve">Actual June-2026 </t>
  </si>
  <si>
    <t xml:space="preserve">Actual  July-2026 </t>
  </si>
  <si>
    <t>July-2026</t>
  </si>
  <si>
    <t xml:space="preserve">Actual Aug-2026 </t>
  </si>
  <si>
    <t xml:space="preserve"> Aug-2026</t>
  </si>
  <si>
    <t xml:space="preserve">Actual Sep-2026 </t>
  </si>
  <si>
    <t xml:space="preserve">Actual Oct-2026 </t>
  </si>
  <si>
    <t xml:space="preserve"> Oct-2026</t>
  </si>
  <si>
    <t xml:space="preserve">Actual Nov-2026 </t>
  </si>
  <si>
    <t xml:space="preserve"> Nov-2026</t>
  </si>
  <si>
    <t xml:space="preserve">Actual Dec-2026 </t>
  </si>
  <si>
    <t xml:space="preserve"> Dec-2026</t>
  </si>
  <si>
    <t>AlWaha_City</t>
  </si>
  <si>
    <t xml:space="preserve">Elle_Marina5  </t>
  </si>
  <si>
    <t>Target 2026</t>
  </si>
  <si>
    <t>TMT 47%</t>
  </si>
  <si>
    <t>TMT 48%</t>
  </si>
  <si>
    <t>SF 53%</t>
  </si>
  <si>
    <t>SF 52%</t>
  </si>
  <si>
    <t>Growth% 2025</t>
  </si>
  <si>
    <t>Jan-2025 (7.02%)</t>
  </si>
  <si>
    <t>Mar-2025 (4.84%)</t>
  </si>
  <si>
    <t>Apr-2025 (7.36%)</t>
  </si>
  <si>
    <t>May-2025 (8.31%)</t>
  </si>
  <si>
    <t>Jun-2025 (8.85%)</t>
  </si>
  <si>
    <t>Aug-2025 (10.33%)</t>
  </si>
  <si>
    <t>Sep-2025 (9.43%)</t>
  </si>
  <si>
    <t>Oct-2025 (9.36%)</t>
  </si>
  <si>
    <t>Dec-2025 (8.82%)</t>
  </si>
  <si>
    <t>Feb-2025 (6.72%)</t>
  </si>
  <si>
    <t>Jul-2025 (9.91%)</t>
  </si>
  <si>
    <t>Nov-2025 (8.82%)</t>
  </si>
  <si>
    <t>Feb Sales last 10 days</t>
  </si>
  <si>
    <t>Total After deducting 10 days</t>
  </si>
  <si>
    <t>March Sales 1st 10 days</t>
  </si>
  <si>
    <t>Total after adding 10 days</t>
  </si>
  <si>
    <t>Feb Actual Sales</t>
  </si>
  <si>
    <t>1st 10 days of April</t>
  </si>
  <si>
    <t>1st 10 days of April (Eid)</t>
  </si>
  <si>
    <t>March Actual Sales</t>
  </si>
  <si>
    <t>last 10 days of Feb</t>
  </si>
  <si>
    <t>April Actual Sales</t>
  </si>
  <si>
    <t>Total after adding 10 days of Feb</t>
  </si>
  <si>
    <t>may sales 27-5 to 31-5</t>
  </si>
  <si>
    <t>total after deducting 5 days (may)</t>
  </si>
  <si>
    <t>May Actual Sales</t>
  </si>
  <si>
    <t>total after adding 5 days (eid june)</t>
  </si>
  <si>
    <t>june sales 5-6 to 9-6</t>
  </si>
  <si>
    <t>total after deducting 5 days (june eid)</t>
  </si>
  <si>
    <t>june sales 15-6 to 19-6(after eid)</t>
  </si>
  <si>
    <t>June Actual Sales</t>
  </si>
  <si>
    <t>total after adding 5 days ( after eid june)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</si>
</sst>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\ _L_E_-;\-* #,##0.00\ _L_E_-;_-* &quot;-&quot;??\ _L_E_-;_-@_-"/>
    <numFmt numFmtId="165" formatCode="_(* #,##0_);_(* \(#,##0\);_(* &quot;-&quot;??_);_(@_)"/>
    <numFmt numFmtId="166" formatCode="_-* #,##0\ _L_E_-;\-* #,##0\ _L_E_-;_-* &quot;-&quot;??\ _L_E_-;_-@_-"/>
    <numFmt numFmtId="167" formatCode="0.0%"/>
    <numFmt numFmtId="168" formatCode="[$-10409]#,##0.00;\-#,##0.00"/>
    <numFmt numFmtId="169" formatCode="#,##0_ ;\-#,##0\ "/>
    <numFmt numFmtId="170" formatCode="0.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14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11"/>
      <color rgb="FF000000"/>
      <name val="Calibri"/>
      <family val="2"/>
    </font>
    <font>
      <sz val="10"/>
      <color rgb="FFFF0000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B05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DD8E6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C0C0C0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5" fillId="0" borderId="0" applyBorder="0"/>
    <xf numFmtId="9" fontId="1" fillId="0" borderId="0" applyFont="0" applyFill="0" applyBorder="0" applyAlignment="0" applyProtection="0"/>
  </cellStyleXfs>
  <cellXfs count="291">
    <xf numFmtId="0" fontId="0" fillId="0" borderId="0" xfId="0"/>
    <xf numFmtId="3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  <xf numFmtId="3" fontId="0" fillId="0" borderId="19" xfId="0" applyNumberFormat="1" applyBorder="1" applyAlignment="1">
      <alignment horizontal="center"/>
    </xf>
    <xf numFmtId="10" fontId="0" fillId="0" borderId="19" xfId="0" applyNumberForma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8" fillId="0" borderId="5" xfId="0" applyFont="1" applyBorder="1"/>
    <xf numFmtId="0" fontId="0" fillId="0" borderId="6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8" fillId="0" borderId="8" xfId="0" applyFont="1" applyBorder="1"/>
    <xf numFmtId="0" fontId="0" fillId="4" borderId="21" xfId="0" applyFill="1" applyBorder="1" applyAlignment="1">
      <alignment horizontal="center"/>
    </xf>
    <xf numFmtId="0" fontId="8" fillId="0" borderId="22" xfId="0" applyFont="1" applyBorder="1"/>
    <xf numFmtId="49" fontId="2" fillId="2" borderId="10" xfId="0" applyNumberFormat="1" applyFont="1" applyFill="1" applyBorder="1" applyAlignment="1">
      <alignment horizontal="center" wrapText="1"/>
    </xf>
    <xf numFmtId="49" fontId="2" fillId="2" borderId="10" xfId="0" applyNumberFormat="1" applyFont="1" applyFill="1" applyBorder="1" applyAlignment="1">
      <alignment horizontal="center"/>
    </xf>
    <xf numFmtId="49" fontId="2" fillId="2" borderId="10" xfId="1" applyNumberFormat="1" applyFont="1" applyFill="1" applyBorder="1" applyAlignment="1">
      <alignment horizontal="center" wrapText="1"/>
    </xf>
    <xf numFmtId="49" fontId="2" fillId="2" borderId="10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3" fontId="2" fillId="2" borderId="0" xfId="0" applyNumberFormat="1" applyFont="1" applyFill="1" applyBorder="1" applyAlignment="1">
      <alignment horizontal="center" wrapText="1"/>
    </xf>
    <xf numFmtId="3" fontId="0" fillId="0" borderId="5" xfId="0" applyNumberFormat="1" applyFill="1" applyBorder="1" applyAlignment="1">
      <alignment horizontal="center"/>
    </xf>
    <xf numFmtId="3" fontId="0" fillId="6" borderId="5" xfId="0" applyNumberFormat="1" applyFill="1" applyBorder="1" applyAlignment="1">
      <alignment horizontal="center"/>
    </xf>
    <xf numFmtId="3" fontId="6" fillId="4" borderId="10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166" fontId="0" fillId="0" borderId="0" xfId="0" applyNumberFormat="1"/>
    <xf numFmtId="3" fontId="0" fillId="6" borderId="19" xfId="0" applyNumberFormat="1" applyFill="1" applyBorder="1" applyAlignment="1">
      <alignment horizontal="center"/>
    </xf>
    <xf numFmtId="3" fontId="0" fillId="3" borderId="0" xfId="0" applyNumberFormat="1" applyFill="1" applyBorder="1" applyAlignment="1">
      <alignment horizontal="center"/>
    </xf>
    <xf numFmtId="0" fontId="0" fillId="0" borderId="0" xfId="0" applyBorder="1"/>
    <xf numFmtId="3" fontId="12" fillId="4" borderId="10" xfId="0" applyNumberFormat="1" applyFont="1" applyFill="1" applyBorder="1" applyAlignment="1">
      <alignment horizontal="center"/>
    </xf>
    <xf numFmtId="167" fontId="6" fillId="4" borderId="10" xfId="0" applyNumberFormat="1" applyFont="1" applyFill="1" applyBorder="1" applyAlignment="1">
      <alignment horizontal="center"/>
    </xf>
    <xf numFmtId="0" fontId="8" fillId="0" borderId="16" xfId="0" applyFont="1" applyBorder="1"/>
    <xf numFmtId="3" fontId="0" fillId="2" borderId="19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18" xfId="0" applyFill="1" applyBorder="1" applyAlignment="1">
      <alignment horizontal="center"/>
    </xf>
    <xf numFmtId="10" fontId="9" fillId="0" borderId="19" xfId="0" applyNumberFormat="1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3" fontId="11" fillId="0" borderId="0" xfId="0" applyNumberFormat="1" applyFont="1" applyBorder="1" applyAlignment="1">
      <alignment horizontal="center" vertical="center"/>
    </xf>
    <xf numFmtId="166" fontId="10" fillId="0" borderId="0" xfId="0" applyNumberFormat="1" applyFont="1" applyBorder="1"/>
    <xf numFmtId="9" fontId="6" fillId="4" borderId="10" xfId="0" applyNumberFormat="1" applyFont="1" applyFill="1" applyBorder="1" applyAlignment="1">
      <alignment horizontal="center"/>
    </xf>
    <xf numFmtId="167" fontId="6" fillId="4" borderId="11" xfId="0" applyNumberFormat="1" applyFont="1" applyFill="1" applyBorder="1" applyAlignment="1">
      <alignment horizontal="center"/>
    </xf>
    <xf numFmtId="0" fontId="8" fillId="0" borderId="19" xfId="0" applyFont="1" applyBorder="1"/>
    <xf numFmtId="0" fontId="11" fillId="4" borderId="18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3" fontId="0" fillId="0" borderId="10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8" fontId="5" fillId="7" borderId="5" xfId="0" applyNumberFormat="1" applyFont="1" applyFill="1" applyBorder="1" applyAlignment="1">
      <alignment horizontal="center" vertical="center" wrapText="1"/>
    </xf>
    <xf numFmtId="168" fontId="5" fillId="8" borderId="5" xfId="0" applyNumberFormat="1" applyFont="1" applyFill="1" applyBorder="1" applyAlignment="1">
      <alignment horizontal="center" vertical="center" wrapText="1"/>
    </xf>
    <xf numFmtId="10" fontId="0" fillId="3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" fillId="7" borderId="5" xfId="0" applyNumberFormat="1" applyFont="1" applyFill="1" applyBorder="1" applyAlignment="1">
      <alignment horizontal="center" vertical="center" wrapText="1"/>
    </xf>
    <xf numFmtId="168" fontId="5" fillId="7" borderId="19" xfId="0" applyNumberFormat="1" applyFont="1" applyFill="1" applyBorder="1" applyAlignment="1">
      <alignment horizontal="center" vertical="center" wrapText="1"/>
    </xf>
    <xf numFmtId="0" fontId="5" fillId="8" borderId="4" xfId="0" applyNumberFormat="1" applyFont="1" applyFill="1" applyBorder="1" applyAlignment="1">
      <alignment horizontal="center" vertical="center" wrapText="1" readingOrder="1"/>
    </xf>
    <xf numFmtId="0" fontId="5" fillId="8" borderId="5" xfId="0" applyNumberFormat="1" applyFont="1" applyFill="1" applyBorder="1" applyAlignment="1">
      <alignment horizontal="center" vertical="center" wrapText="1" readingOrder="1"/>
    </xf>
    <xf numFmtId="0" fontId="5" fillId="7" borderId="5" xfId="0" applyNumberFormat="1" applyFont="1" applyFill="1" applyBorder="1" applyAlignment="1">
      <alignment horizontal="center" vertical="center" wrapText="1" readingOrder="1"/>
    </xf>
    <xf numFmtId="0" fontId="5" fillId="7" borderId="19" xfId="0" applyNumberFormat="1" applyFont="1" applyFill="1" applyBorder="1" applyAlignment="1">
      <alignment horizontal="center" vertical="center" wrapText="1" readingOrder="1"/>
    </xf>
    <xf numFmtId="0" fontId="2" fillId="2" borderId="13" xfId="0" applyFont="1" applyFill="1" applyBorder="1"/>
    <xf numFmtId="0" fontId="2" fillId="2" borderId="9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10" fontId="0" fillId="0" borderId="5" xfId="0" applyNumberForma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3" fontId="0" fillId="0" borderId="19" xfId="0" applyNumberFormat="1" applyBorder="1" applyAlignment="1">
      <alignment horizontal="center" vertical="center"/>
    </xf>
    <xf numFmtId="3" fontId="0" fillId="0" borderId="19" xfId="1" applyNumberFormat="1" applyFont="1" applyBorder="1" applyAlignment="1">
      <alignment horizontal="center"/>
    </xf>
    <xf numFmtId="3" fontId="8" fillId="0" borderId="10" xfId="0" applyNumberFormat="1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5" xfId="0" applyNumberFormat="1" applyFont="1" applyFill="1" applyBorder="1" applyAlignment="1">
      <alignment horizontal="center"/>
    </xf>
    <xf numFmtId="9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9" fontId="0" fillId="0" borderId="0" xfId="0" applyNumberFormat="1"/>
    <xf numFmtId="3" fontId="0" fillId="0" borderId="0" xfId="0" applyNumberFormat="1"/>
    <xf numFmtId="169" fontId="13" fillId="0" borderId="10" xfId="0" applyNumberFormat="1" applyFont="1" applyFill="1" applyBorder="1" applyAlignment="1">
      <alignment horizontal="center" vertical="center" wrapText="1" readingOrder="1"/>
    </xf>
    <xf numFmtId="3" fontId="5" fillId="0" borderId="10" xfId="0" applyNumberFormat="1" applyFont="1" applyFill="1" applyBorder="1" applyAlignment="1">
      <alignment horizontal="center" vertical="center" wrapText="1" readingOrder="1"/>
    </xf>
    <xf numFmtId="3" fontId="5" fillId="7" borderId="10" xfId="0" applyNumberFormat="1" applyFont="1" applyFill="1" applyBorder="1" applyAlignment="1">
      <alignment horizontal="center" vertical="center" wrapText="1" readingOrder="1"/>
    </xf>
    <xf numFmtId="0" fontId="0" fillId="0" borderId="10" xfId="0" applyBorder="1"/>
    <xf numFmtId="9" fontId="0" fillId="0" borderId="0" xfId="0" applyNumberFormat="1" applyAlignment="1">
      <alignment horizontal="center" vertical="center"/>
    </xf>
    <xf numFmtId="3" fontId="4" fillId="4" borderId="19" xfId="0" applyNumberFormat="1" applyFont="1" applyFill="1" applyBorder="1" applyAlignment="1">
      <alignment horizontal="center"/>
    </xf>
    <xf numFmtId="0" fontId="14" fillId="7" borderId="19" xfId="0" applyNumberFormat="1" applyFont="1" applyFill="1" applyBorder="1" applyAlignment="1">
      <alignment horizontal="center" vertical="center" wrapText="1" readingOrder="1"/>
    </xf>
    <xf numFmtId="3" fontId="0" fillId="0" borderId="19" xfId="0" applyNumberFormat="1" applyFill="1" applyBorder="1" applyAlignment="1">
      <alignment horizontal="center"/>
    </xf>
    <xf numFmtId="3" fontId="0" fillId="6" borderId="28" xfId="0" applyNumberFormat="1" applyFill="1" applyBorder="1" applyAlignment="1">
      <alignment horizontal="center" vertical="center"/>
    </xf>
    <xf numFmtId="0" fontId="14" fillId="7" borderId="19" xfId="0" applyNumberFormat="1" applyFont="1" applyFill="1" applyBorder="1" applyAlignment="1">
      <alignment horizontal="left" vertical="center" wrapText="1" readingOrder="1"/>
    </xf>
    <xf numFmtId="0" fontId="5" fillId="8" borderId="5" xfId="0" applyNumberFormat="1" applyFont="1" applyFill="1" applyBorder="1" applyAlignment="1">
      <alignment horizontal="left" vertical="center" wrapText="1" readingOrder="1"/>
    </xf>
    <xf numFmtId="167" fontId="8" fillId="9" borderId="6" xfId="0" applyNumberFormat="1" applyFont="1" applyFill="1" applyBorder="1" applyAlignment="1">
      <alignment horizontal="center" vertical="center"/>
    </xf>
    <xf numFmtId="167" fontId="11" fillId="6" borderId="20" xfId="0" applyNumberFormat="1" applyFont="1" applyFill="1" applyBorder="1" applyAlignment="1">
      <alignment horizontal="center" vertical="center"/>
    </xf>
    <xf numFmtId="167" fontId="11" fillId="10" borderId="20" xfId="0" applyNumberFormat="1" applyFont="1" applyFill="1" applyBorder="1" applyAlignment="1">
      <alignment horizontal="center" vertical="center"/>
    </xf>
    <xf numFmtId="3" fontId="0" fillId="9" borderId="5" xfId="0" applyNumberFormat="1" applyFill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 vertical="center"/>
    </xf>
    <xf numFmtId="3" fontId="0" fillId="6" borderId="8" xfId="0" applyNumberFormat="1" applyFill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8" fillId="0" borderId="0" xfId="0" applyFont="1" applyFill="1" applyBorder="1"/>
    <xf numFmtId="3" fontId="3" fillId="0" borderId="19" xfId="0" applyNumberFormat="1" applyFont="1" applyBorder="1" applyAlignment="1">
      <alignment horizontal="center"/>
    </xf>
    <xf numFmtId="0" fontId="16" fillId="7" borderId="19" xfId="0" applyNumberFormat="1" applyFont="1" applyFill="1" applyBorder="1" applyAlignment="1">
      <alignment horizontal="left" vertical="center" wrapText="1" readingOrder="1"/>
    </xf>
    <xf numFmtId="3" fontId="4" fillId="0" borderId="8" xfId="0" applyNumberFormat="1" applyFont="1" applyBorder="1" applyAlignment="1">
      <alignment horizontal="center"/>
    </xf>
    <xf numFmtId="3" fontId="4" fillId="0" borderId="19" xfId="0" applyNumberFormat="1" applyFont="1" applyBorder="1" applyAlignment="1">
      <alignment horizontal="center"/>
    </xf>
    <xf numFmtId="10" fontId="0" fillId="0" borderId="19" xfId="0" applyNumberFormat="1" applyFill="1" applyBorder="1" applyAlignment="1">
      <alignment horizontal="center"/>
    </xf>
    <xf numFmtId="0" fontId="16" fillId="8" borderId="5" xfId="0" applyNumberFormat="1" applyFont="1" applyFill="1" applyBorder="1" applyAlignment="1">
      <alignment horizontal="left" vertical="center" wrapText="1" readingOrder="1"/>
    </xf>
    <xf numFmtId="3" fontId="0" fillId="0" borderId="5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/>
    </xf>
    <xf numFmtId="3" fontId="0" fillId="0" borderId="8" xfId="0" applyNumberFormat="1" applyFill="1" applyBorder="1" applyAlignment="1">
      <alignment horizontal="center" vertical="center"/>
    </xf>
    <xf numFmtId="3" fontId="0" fillId="0" borderId="10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3" fontId="0" fillId="0" borderId="0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vertical="top" wrapText="1" readingOrder="1"/>
    </xf>
    <xf numFmtId="165" fontId="6" fillId="0" borderId="0" xfId="1" applyNumberFormat="1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 vertical="center"/>
    </xf>
    <xf numFmtId="43" fontId="0" fillId="0" borderId="0" xfId="0" applyNumberFormat="1" applyFill="1" applyBorder="1" applyAlignment="1">
      <alignment horizontal="center" vertical="center"/>
    </xf>
    <xf numFmtId="0" fontId="16" fillId="8" borderId="5" xfId="0" applyNumberFormat="1" applyFont="1" applyFill="1" applyBorder="1" applyAlignment="1">
      <alignment horizontal="center" vertical="center" wrapText="1" readingOrder="1"/>
    </xf>
    <xf numFmtId="3" fontId="5" fillId="7" borderId="19" xfId="0" applyNumberFormat="1" applyFont="1" applyFill="1" applyBorder="1" applyAlignment="1">
      <alignment horizontal="center" vertical="center" wrapText="1" readingOrder="1"/>
    </xf>
    <xf numFmtId="3" fontId="5" fillId="8" borderId="5" xfId="0" applyNumberFormat="1" applyFont="1" applyFill="1" applyBorder="1" applyAlignment="1">
      <alignment horizontal="center" vertical="center" wrapText="1" readingOrder="1"/>
    </xf>
    <xf numFmtId="3" fontId="5" fillId="7" borderId="5" xfId="0" applyNumberFormat="1" applyFont="1" applyFill="1" applyBorder="1" applyAlignment="1">
      <alignment horizontal="center" vertical="center" wrapText="1" readingOrder="1"/>
    </xf>
    <xf numFmtId="0" fontId="16" fillId="7" borderId="5" xfId="0" applyNumberFormat="1" applyFont="1" applyFill="1" applyBorder="1" applyAlignment="1">
      <alignment horizontal="center" vertical="center" wrapText="1" readingOrder="1"/>
    </xf>
    <xf numFmtId="0" fontId="2" fillId="0" borderId="5" xfId="0" applyFont="1" applyFill="1" applyBorder="1" applyAlignment="1">
      <alignment horizontal="center" vertical="center"/>
    </xf>
    <xf numFmtId="0" fontId="5" fillId="8" borderId="8" xfId="0" applyNumberFormat="1" applyFont="1" applyFill="1" applyBorder="1" applyAlignment="1">
      <alignment horizontal="center" vertical="center" wrapText="1" readingOrder="1"/>
    </xf>
    <xf numFmtId="0" fontId="16" fillId="8" borderId="8" xfId="0" applyNumberFormat="1" applyFont="1" applyFill="1" applyBorder="1" applyAlignment="1">
      <alignment horizontal="center" vertical="center" wrapText="1" readingOrder="1"/>
    </xf>
    <xf numFmtId="3" fontId="5" fillId="8" borderId="8" xfId="0" applyNumberFormat="1" applyFont="1" applyFill="1" applyBorder="1" applyAlignment="1">
      <alignment horizontal="center" vertical="center" wrapText="1" readingOrder="1"/>
    </xf>
    <xf numFmtId="10" fontId="0" fillId="0" borderId="8" xfId="0" applyNumberFormat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/>
    </xf>
    <xf numFmtId="3" fontId="0" fillId="0" borderId="10" xfId="0" applyNumberFormat="1" applyFill="1" applyBorder="1" applyAlignment="1">
      <alignment horizontal="center"/>
    </xf>
    <xf numFmtId="10" fontId="0" fillId="0" borderId="10" xfId="0" applyNumberFormat="1" applyFill="1" applyBorder="1" applyAlignment="1">
      <alignment horizontal="center" vertical="center"/>
    </xf>
    <xf numFmtId="3" fontId="11" fillId="3" borderId="0" xfId="0" applyNumberFormat="1" applyFon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169" fontId="5" fillId="7" borderId="32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/>
    <xf numFmtId="9" fontId="0" fillId="0" borderId="31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66" fontId="0" fillId="0" borderId="0" xfId="0" applyNumberFormat="1" applyFill="1" applyBorder="1"/>
    <xf numFmtId="9" fontId="0" fillId="0" borderId="0" xfId="0" applyNumberFormat="1" applyFill="1" applyBorder="1"/>
    <xf numFmtId="41" fontId="0" fillId="0" borderId="0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4" fillId="0" borderId="12" xfId="0" applyNumberFormat="1" applyFont="1" applyBorder="1" applyAlignment="1">
      <alignment horizontal="center"/>
    </xf>
    <xf numFmtId="169" fontId="13" fillId="0" borderId="33" xfId="0" applyNumberFormat="1" applyFont="1" applyFill="1" applyBorder="1" applyAlignment="1">
      <alignment horizontal="center" vertical="center" wrapText="1" readingOrder="1"/>
    </xf>
    <xf numFmtId="3" fontId="0" fillId="0" borderId="28" xfId="0" applyNumberFormat="1" applyBorder="1"/>
    <xf numFmtId="3" fontId="4" fillId="0" borderId="19" xfId="1" applyNumberFormat="1" applyFont="1" applyBorder="1" applyAlignment="1">
      <alignment horizontal="center"/>
    </xf>
    <xf numFmtId="3" fontId="4" fillId="0" borderId="19" xfId="0" applyNumberFormat="1" applyFont="1" applyFill="1" applyBorder="1" applyAlignment="1">
      <alignment horizontal="center"/>
    </xf>
    <xf numFmtId="167" fontId="0" fillId="0" borderId="5" xfId="0" applyNumberFormat="1" applyBorder="1" applyAlignment="1">
      <alignment horizontal="center" vertical="center"/>
    </xf>
    <xf numFmtId="10" fontId="0" fillId="0" borderId="17" xfId="0" applyNumberFormat="1" applyFill="1" applyBorder="1" applyAlignment="1">
      <alignment horizontal="center"/>
    </xf>
    <xf numFmtId="167" fontId="0" fillId="0" borderId="8" xfId="0" applyNumberFormat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/>
    </xf>
    <xf numFmtId="167" fontId="0" fillId="3" borderId="5" xfId="0" applyNumberFormat="1" applyFill="1" applyBorder="1" applyAlignment="1">
      <alignment horizontal="center" vertical="center"/>
    </xf>
    <xf numFmtId="10" fontId="8" fillId="0" borderId="27" xfId="0" applyNumberFormat="1" applyFont="1" applyBorder="1" applyAlignment="1">
      <alignment horizontal="center" vertical="center"/>
    </xf>
    <xf numFmtId="10" fontId="8" fillId="0" borderId="34" xfId="0" applyNumberFormat="1" applyFont="1" applyBorder="1" applyAlignment="1">
      <alignment horizontal="center" vertical="center"/>
    </xf>
    <xf numFmtId="169" fontId="5" fillId="0" borderId="5" xfId="0" applyNumberFormat="1" applyFont="1" applyFill="1" applyBorder="1" applyAlignment="1">
      <alignment horizontal="center" vertical="center" wrapText="1" readingOrder="1"/>
    </xf>
    <xf numFmtId="169" fontId="5" fillId="7" borderId="5" xfId="0" applyNumberFormat="1" applyFont="1" applyFill="1" applyBorder="1" applyAlignment="1">
      <alignment horizontal="center" vertical="center" wrapText="1" readingOrder="1"/>
    </xf>
    <xf numFmtId="166" fontId="0" fillId="0" borderId="5" xfId="1" applyNumberFormat="1" applyFont="1" applyBorder="1" applyAlignment="1">
      <alignment horizontal="center" vertical="center"/>
    </xf>
    <xf numFmtId="3" fontId="0" fillId="2" borderId="12" xfId="0" applyNumberFormat="1" applyFill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3" fontId="0" fillId="0" borderId="14" xfId="0" applyNumberFormat="1" applyFill="1" applyBorder="1"/>
    <xf numFmtId="9" fontId="9" fillId="0" borderId="28" xfId="0" applyNumberFormat="1" applyFont="1" applyBorder="1" applyAlignment="1">
      <alignment horizontal="center"/>
    </xf>
    <xf numFmtId="166" fontId="0" fillId="0" borderId="0" xfId="1" applyNumberFormat="1" applyFont="1"/>
    <xf numFmtId="3" fontId="0" fillId="0" borderId="31" xfId="0" applyNumberFormat="1" applyBorder="1"/>
    <xf numFmtId="3" fontId="9" fillId="0" borderId="28" xfId="0" applyNumberFormat="1" applyFont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9" fontId="0" fillId="0" borderId="19" xfId="3" applyFont="1" applyFill="1" applyBorder="1" applyAlignment="1">
      <alignment horizontal="center"/>
    </xf>
    <xf numFmtId="0" fontId="0" fillId="11" borderId="35" xfId="0" applyFill="1" applyBorder="1" applyAlignment="1">
      <alignment horizontal="left"/>
    </xf>
    <xf numFmtId="4" fontId="0" fillId="11" borderId="35" xfId="0" applyNumberFormat="1" applyFill="1" applyBorder="1" applyAlignment="1">
      <alignment horizontal="left"/>
    </xf>
    <xf numFmtId="0" fontId="0" fillId="0" borderId="35" xfId="0" applyBorder="1" applyAlignment="1">
      <alignment horizontal="left"/>
    </xf>
    <xf numFmtId="4" fontId="0" fillId="0" borderId="35" xfId="0" applyNumberFormat="1" applyBorder="1" applyAlignment="1">
      <alignment horizontal="left"/>
    </xf>
    <xf numFmtId="0" fontId="2" fillId="2" borderId="12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 applyAlignment="1">
      <alignment horizontal="center"/>
    </xf>
    <xf numFmtId="3" fontId="0" fillId="12" borderId="19" xfId="0" applyNumberFormat="1" applyFill="1" applyBorder="1" applyAlignment="1">
      <alignment horizontal="center"/>
    </xf>
    <xf numFmtId="3" fontId="0" fillId="9" borderId="19" xfId="0" applyNumberFormat="1" applyFill="1" applyBorder="1" applyAlignment="1">
      <alignment horizontal="center"/>
    </xf>
    <xf numFmtId="167" fontId="8" fillId="12" borderId="5" xfId="0" applyNumberFormat="1" applyFont="1" applyFill="1" applyBorder="1" applyAlignment="1">
      <alignment horizontal="center" vertical="center"/>
    </xf>
    <xf numFmtId="3" fontId="0" fillId="10" borderId="19" xfId="0" applyNumberFormat="1" applyFill="1" applyBorder="1" applyAlignment="1">
      <alignment horizontal="center"/>
    </xf>
    <xf numFmtId="3" fontId="0" fillId="12" borderId="5" xfId="0" applyNumberFormat="1" applyFill="1" applyBorder="1" applyAlignment="1">
      <alignment horizontal="center"/>
    </xf>
    <xf numFmtId="3" fontId="0" fillId="9" borderId="5" xfId="0" applyNumberFormat="1" applyFill="1" applyBorder="1" applyAlignment="1">
      <alignment horizontal="center"/>
    </xf>
    <xf numFmtId="3" fontId="0" fillId="10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0" fontId="0" fillId="2" borderId="11" xfId="0" applyNumberFormat="1" applyFill="1" applyBorder="1" applyAlignment="1">
      <alignment horizontal="center"/>
    </xf>
    <xf numFmtId="3" fontId="0" fillId="2" borderId="28" xfId="0" applyNumberFormat="1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3" fontId="3" fillId="4" borderId="19" xfId="0" applyNumberFormat="1" applyFont="1" applyFill="1" applyBorder="1" applyAlignment="1">
      <alignment horizontal="center"/>
    </xf>
    <xf numFmtId="0" fontId="14" fillId="8" borderId="5" xfId="0" applyNumberFormat="1" applyFont="1" applyFill="1" applyBorder="1" applyAlignment="1">
      <alignment horizontal="left" vertical="center" wrapText="1" readingOrder="1"/>
    </xf>
    <xf numFmtId="167" fontId="0" fillId="0" borderId="0" xfId="0" applyNumberFormat="1"/>
    <xf numFmtId="0" fontId="9" fillId="6" borderId="28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3" fontId="0" fillId="0" borderId="12" xfId="0" applyNumberFormat="1" applyFill="1" applyBorder="1" applyAlignment="1">
      <alignment horizontal="center" vertical="center"/>
    </xf>
    <xf numFmtId="10" fontId="0" fillId="0" borderId="39" xfId="0" applyNumberFormat="1" applyFill="1" applyBorder="1" applyAlignment="1">
      <alignment horizontal="center"/>
    </xf>
    <xf numFmtId="10" fontId="0" fillId="0" borderId="38" xfId="0" applyNumberForma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16" fillId="0" borderId="38" xfId="0" applyNumberFormat="1" applyFont="1" applyFill="1" applyBorder="1" applyAlignment="1">
      <alignment horizontal="center" vertical="center" wrapText="1" readingOrder="1"/>
    </xf>
    <xf numFmtId="3" fontId="5" fillId="0" borderId="12" xfId="0" applyNumberFormat="1" applyFont="1" applyFill="1" applyBorder="1" applyAlignment="1">
      <alignment horizontal="center" vertical="center" wrapText="1" readingOrder="1"/>
    </xf>
    <xf numFmtId="10" fontId="0" fillId="0" borderId="12" xfId="0" applyNumberFormat="1" applyFill="1" applyBorder="1" applyAlignment="1">
      <alignment horizontal="center" vertical="center"/>
    </xf>
    <xf numFmtId="167" fontId="0" fillId="0" borderId="39" xfId="0" applyNumberFormat="1" applyFill="1" applyBorder="1" applyAlignment="1">
      <alignment horizontal="center" vertical="center"/>
    </xf>
    <xf numFmtId="167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0" fontId="14" fillId="7" borderId="5" xfId="0" applyNumberFormat="1" applyFont="1" applyFill="1" applyBorder="1" applyAlignment="1">
      <alignment horizontal="left" vertical="center" wrapText="1" readingOrder="1"/>
    </xf>
    <xf numFmtId="0" fontId="16" fillId="7" borderId="5" xfId="0" applyNumberFormat="1" applyFont="1" applyFill="1" applyBorder="1" applyAlignment="1">
      <alignment horizontal="left" vertical="center" wrapText="1" readingOrder="1"/>
    </xf>
    <xf numFmtId="3" fontId="0" fillId="0" borderId="0" xfId="0" applyNumberForma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7" fontId="0" fillId="0" borderId="19" xfId="0" applyNumberFormat="1" applyBorder="1" applyAlignment="1">
      <alignment horizontal="center" vertical="center"/>
    </xf>
    <xf numFmtId="10" fontId="2" fillId="2" borderId="9" xfId="0" applyNumberFormat="1" applyFont="1" applyFill="1" applyBorder="1" applyAlignment="1">
      <alignment horizontal="center" vertical="center"/>
    </xf>
    <xf numFmtId="10" fontId="2" fillId="2" borderId="10" xfId="0" applyNumberFormat="1" applyFont="1" applyFill="1" applyBorder="1" applyAlignment="1">
      <alignment horizontal="center" vertical="center"/>
    </xf>
    <xf numFmtId="10" fontId="2" fillId="2" borderId="11" xfId="0" applyNumberFormat="1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167" fontId="3" fillId="0" borderId="5" xfId="0" applyNumberFormat="1" applyFont="1" applyBorder="1" applyAlignment="1">
      <alignment horizontal="center" vertical="center"/>
    </xf>
    <xf numFmtId="170" fontId="0" fillId="0" borderId="0" xfId="0" applyNumberFormat="1"/>
    <xf numFmtId="0" fontId="16" fillId="13" borderId="19" xfId="0" applyNumberFormat="1" applyFont="1" applyFill="1" applyBorder="1" applyAlignment="1">
      <alignment horizontal="center" vertical="center" wrapText="1" readingOrder="1"/>
    </xf>
    <xf numFmtId="0" fontId="16" fillId="2" borderId="38" xfId="0" applyNumberFormat="1" applyFont="1" applyFill="1" applyBorder="1" applyAlignment="1">
      <alignment horizontal="center" vertical="center" wrapText="1" readingOrder="1"/>
    </xf>
    <xf numFmtId="0" fontId="16" fillId="14" borderId="8" xfId="0" applyNumberFormat="1" applyFont="1" applyFill="1" applyBorder="1" applyAlignment="1">
      <alignment horizontal="center" vertical="center" wrapText="1" readingOrder="1"/>
    </xf>
    <xf numFmtId="0" fontId="16" fillId="13" borderId="5" xfId="0" applyNumberFormat="1" applyFont="1" applyFill="1" applyBorder="1" applyAlignment="1">
      <alignment horizontal="center" vertical="center" wrapText="1" readingOrder="1"/>
    </xf>
    <xf numFmtId="0" fontId="16" fillId="2" borderId="5" xfId="0" applyNumberFormat="1" applyFont="1" applyFill="1" applyBorder="1" applyAlignment="1">
      <alignment horizontal="center" vertical="center" wrapText="1" readingOrder="1"/>
    </xf>
    <xf numFmtId="0" fontId="0" fillId="2" borderId="0" xfId="0" applyFill="1"/>
    <xf numFmtId="0" fontId="3" fillId="0" borderId="0" xfId="0" applyFont="1" applyFill="1"/>
    <xf numFmtId="0" fontId="3" fillId="0" borderId="0" xfId="0" applyFont="1" applyFill="1" applyBorder="1"/>
    <xf numFmtId="0" fontId="2" fillId="2" borderId="40" xfId="0" applyFon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wrapText="1"/>
    </xf>
    <xf numFmtId="0" fontId="14" fillId="7" borderId="18" xfId="0" applyNumberFormat="1" applyFont="1" applyFill="1" applyBorder="1" applyAlignment="1">
      <alignment horizontal="center" vertical="center" wrapText="1" readingOrder="1"/>
    </xf>
    <xf numFmtId="3" fontId="0" fillId="6" borderId="20" xfId="0" applyNumberFormat="1" applyFill="1" applyBorder="1" applyAlignment="1">
      <alignment horizontal="center"/>
    </xf>
    <xf numFmtId="0" fontId="5" fillId="8" borderId="7" xfId="0" applyNumberFormat="1" applyFont="1" applyFill="1" applyBorder="1" applyAlignment="1">
      <alignment horizontal="center" vertical="center" wrapText="1" readingOrder="1"/>
    </xf>
    <xf numFmtId="0" fontId="5" fillId="8" borderId="8" xfId="0" applyNumberFormat="1" applyFont="1" applyFill="1" applyBorder="1" applyAlignment="1">
      <alignment horizontal="left" vertical="center" wrapText="1" readingOrder="1"/>
    </xf>
    <xf numFmtId="3" fontId="0" fillId="0" borderId="12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3" fontId="0" fillId="0" borderId="12" xfId="1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3" fontId="4" fillId="0" borderId="12" xfId="1" applyNumberFormat="1" applyFont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9" fontId="0" fillId="0" borderId="8" xfId="0" applyNumberFormat="1" applyBorder="1" applyAlignment="1">
      <alignment horizontal="center" vertical="center"/>
    </xf>
    <xf numFmtId="3" fontId="0" fillId="6" borderId="26" xfId="0" applyNumberFormat="1" applyFill="1" applyBorder="1" applyAlignment="1">
      <alignment horizontal="center"/>
    </xf>
    <xf numFmtId="9" fontId="0" fillId="2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9" fillId="2" borderId="28" xfId="0" applyFont="1" applyFill="1" applyBorder="1" applyAlignment="1">
      <alignment horizontal="center" vertical="center" wrapText="1"/>
    </xf>
    <xf numFmtId="0" fontId="0" fillId="3" borderId="0" xfId="0" applyFill="1"/>
    <xf numFmtId="0" fontId="18" fillId="8" borderId="5" xfId="0" applyNumberFormat="1" applyFont="1" applyFill="1" applyBorder="1" applyAlignment="1">
      <alignment horizontal="center" vertical="center" wrapText="1" readingOrder="1"/>
    </xf>
    <xf numFmtId="0" fontId="18" fillId="7" borderId="5" xfId="0" applyNumberFormat="1" applyFont="1" applyFill="1" applyBorder="1" applyAlignment="1">
      <alignment horizontal="center" vertical="center" wrapText="1" readingOrder="1"/>
    </xf>
    <xf numFmtId="0" fontId="18" fillId="8" borderId="8" xfId="0" applyNumberFormat="1" applyFont="1" applyFill="1" applyBorder="1" applyAlignment="1">
      <alignment horizontal="center" vertical="center" wrapText="1" readingOrder="1"/>
    </xf>
    <xf numFmtId="3" fontId="0" fillId="6" borderId="0" xfId="0" applyNumberFormat="1" applyFill="1"/>
    <xf numFmtId="9" fontId="0" fillId="6" borderId="5" xfId="0" applyNumberFormat="1" applyFill="1" applyBorder="1" applyAlignment="1">
      <alignment horizontal="center" vertical="center"/>
    </xf>
    <xf numFmtId="3" fontId="0" fillId="4" borderId="0" xfId="0" applyNumberFormat="1" applyFill="1"/>
    <xf numFmtId="0" fontId="6" fillId="0" borderId="0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3" fontId="7" fillId="0" borderId="13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0" borderId="36" xfId="0" applyNumberFormat="1" applyFont="1" applyBorder="1" applyAlignment="1">
      <alignment horizontal="center"/>
    </xf>
    <xf numFmtId="3" fontId="7" fillId="0" borderId="37" xfId="0" applyNumberFormat="1" applyFont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3" fontId="9" fillId="0" borderId="13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9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17" fillId="5" borderId="36" xfId="0" applyFont="1" applyFill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167641</xdr:colOff>
      <xdr:row>0</xdr:row>
      <xdr:rowOff>0</xdr:rowOff>
    </xdr:from>
    <xdr:ext cx="4831080" cy="64026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572001" y="0"/>
          <a:ext cx="4831080" cy="640265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SF Stores 2026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708659</xdr:colOff>
      <xdr:row>0</xdr:row>
      <xdr:rowOff>1</xdr:rowOff>
    </xdr:from>
    <xdr:ext cx="4577715" cy="33528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547859" y="1"/>
          <a:ext cx="4577715" cy="335280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704851</xdr:colOff>
      <xdr:row>0</xdr:row>
      <xdr:rowOff>0</xdr:rowOff>
    </xdr:from>
    <xdr:ext cx="4581524" cy="64026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711691" y="0"/>
          <a:ext cx="4581524" cy="640265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704851</xdr:colOff>
      <xdr:row>0</xdr:row>
      <xdr:rowOff>0</xdr:rowOff>
    </xdr:from>
    <xdr:ext cx="4581524" cy="64026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9711691" y="0"/>
          <a:ext cx="4581524" cy="640265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SF Stores 2026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F%20Sales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2026%20TM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Jan%202025/Jan%20Sales%20result%20S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Feb%202025/Feb%20Sales%20result%20S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March%202025/March%20Sales%20result%20S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April%202025/April%20sales%20result%20S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May%202025/May%20Sales%20result%20SF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June%202025/June%20Sales%20result%20SF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July%202025/July%20Sales%20Result%20SF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August%202025/August%20Sales%20result%20SF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September%202025/September%20Sales%20result%20SF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October%202025/October%20Sales%20result%20SF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ales/November%20sales%20result%20SF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AKSoftSales%20-%202025-12-15T104744.16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F%20Sales%201-4-2024%20to%208-4-20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SF%20Sales%20from%2014-4%20to%2021-4%20(Eid)%20Update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Preparation/SF%20sales%20(Last%2010%20days)%20from%2019-2-2025%20to%2028-2-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Preparation/SF%20Ramadan%20sales%20(1st%2010%20days)%20from%201-3-2025%20to%2010-3-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Preparation/SF%20sales%20(1st%2010%20days)%20from%201-4-2025%20to%2010-4-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Preparation/SF%20sales%20the%20same%20Eid%20days%20(5%20days)%20from%2027-5-2025%20to%2031-5-202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Preparation/SF%20Eid%20Adha%20sales%20(5%20days)%20from%205-6-2025%20to%209-6-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Preparation/SF%20sales%20After%20Eid%20Adha%20(5%20days)%20from%2015-6-2025%20to%2019-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C1" t="str">
            <v>Branch Name</v>
          </cell>
          <cell r="D1" t="str">
            <v>Total Sales LE</v>
          </cell>
        </row>
        <row r="2">
          <cell r="C2" t="str">
            <v>TIVOLI ALEX</v>
          </cell>
          <cell r="D2">
            <v>4021855.5</v>
          </cell>
        </row>
        <row r="3">
          <cell r="C3" t="str">
            <v>AL-SHAHID1</v>
          </cell>
          <cell r="D3">
            <v>30602568.5</v>
          </cell>
        </row>
        <row r="4">
          <cell r="C4" t="str">
            <v>AlAmein3</v>
          </cell>
          <cell r="D4">
            <v>14630461.75</v>
          </cell>
        </row>
        <row r="5">
          <cell r="C5" t="str">
            <v>Nakheel</v>
          </cell>
          <cell r="D5">
            <v>33051769</v>
          </cell>
        </row>
        <row r="6">
          <cell r="C6" t="str">
            <v>Sheraton walk</v>
          </cell>
          <cell r="D6">
            <v>11486735.190000001</v>
          </cell>
        </row>
        <row r="7">
          <cell r="C7" t="str">
            <v>NOBARIA</v>
          </cell>
          <cell r="D7">
            <v>20567867.440000001</v>
          </cell>
        </row>
        <row r="8">
          <cell r="C8" t="str">
            <v>Josip</v>
          </cell>
          <cell r="D8">
            <v>8087135.5</v>
          </cell>
        </row>
        <row r="9">
          <cell r="C9" t="str">
            <v>Dolphin</v>
          </cell>
          <cell r="D9">
            <v>19011804.800000001</v>
          </cell>
        </row>
        <row r="10">
          <cell r="C10" t="str">
            <v>Mansoura2</v>
          </cell>
          <cell r="D10">
            <v>1565928</v>
          </cell>
        </row>
        <row r="11">
          <cell r="C11" t="str">
            <v>WAHA2</v>
          </cell>
          <cell r="D11">
            <v>12461562.24</v>
          </cell>
        </row>
        <row r="12">
          <cell r="C12" t="str">
            <v>Elshams</v>
          </cell>
          <cell r="D12">
            <v>8893153.9400000013</v>
          </cell>
        </row>
        <row r="13">
          <cell r="C13" t="str">
            <v>Bue</v>
          </cell>
          <cell r="D13">
            <v>3253146.75</v>
          </cell>
        </row>
        <row r="14">
          <cell r="C14" t="str">
            <v>Dunes</v>
          </cell>
          <cell r="D14">
            <v>15907523.859999999</v>
          </cell>
        </row>
        <row r="15">
          <cell r="C15" t="str">
            <v>CFC</v>
          </cell>
          <cell r="D15">
            <v>34893245.359999999</v>
          </cell>
        </row>
        <row r="16">
          <cell r="C16" t="str">
            <v>Hegaz</v>
          </cell>
          <cell r="D16">
            <v>6621859</v>
          </cell>
        </row>
        <row r="17">
          <cell r="C17" t="str">
            <v>Heliopolis</v>
          </cell>
          <cell r="D17">
            <v>8239140.25</v>
          </cell>
        </row>
        <row r="18">
          <cell r="C18" t="str">
            <v>Elsanhoury1</v>
          </cell>
          <cell r="D18">
            <v>6424294.25</v>
          </cell>
        </row>
        <row r="19">
          <cell r="C19" t="str">
            <v>Elsanhoury2</v>
          </cell>
          <cell r="D19">
            <v>6420141</v>
          </cell>
        </row>
        <row r="20">
          <cell r="C20" t="str">
            <v>CITYMARK</v>
          </cell>
          <cell r="D20">
            <v>2866422.25</v>
          </cell>
        </row>
        <row r="21">
          <cell r="C21" t="str">
            <v>Assiut</v>
          </cell>
          <cell r="D21">
            <v>5613193.75</v>
          </cell>
        </row>
        <row r="22">
          <cell r="C22" t="str">
            <v>SAFIR</v>
          </cell>
          <cell r="D22">
            <v>2103720</v>
          </cell>
        </row>
        <row r="23">
          <cell r="C23" t="str">
            <v>AlShorouk</v>
          </cell>
          <cell r="D23">
            <v>12680572.5</v>
          </cell>
        </row>
        <row r="24">
          <cell r="C24" t="str">
            <v>CITYSCAPE</v>
          </cell>
          <cell r="D24">
            <v>5129608.5</v>
          </cell>
        </row>
        <row r="25">
          <cell r="C25" t="str">
            <v>Batrawi1</v>
          </cell>
          <cell r="D25">
            <v>5530566.25</v>
          </cell>
        </row>
        <row r="26">
          <cell r="C26" t="str">
            <v>Kersh</v>
          </cell>
          <cell r="D26">
            <v>3401536.5</v>
          </cell>
        </row>
        <row r="27">
          <cell r="C27" t="str">
            <v>CHILLOUT2</v>
          </cell>
          <cell r="D27">
            <v>28149362.57</v>
          </cell>
        </row>
        <row r="28">
          <cell r="C28" t="str">
            <v>NewDamietta</v>
          </cell>
          <cell r="D28">
            <v>17881363</v>
          </cell>
        </row>
        <row r="29">
          <cell r="C29" t="str">
            <v>Tanta</v>
          </cell>
          <cell r="D29">
            <v>14869068.5</v>
          </cell>
        </row>
        <row r="30">
          <cell r="C30" t="str">
            <v>NewCapital</v>
          </cell>
          <cell r="D30">
            <v>7499925.75</v>
          </cell>
        </row>
        <row r="31">
          <cell r="C31" t="str">
            <v>TivoliDome</v>
          </cell>
          <cell r="D31">
            <v>2123912.75</v>
          </cell>
        </row>
        <row r="32">
          <cell r="C32" t="str">
            <v>TahiaMisr2</v>
          </cell>
          <cell r="D32">
            <v>563409</v>
          </cell>
        </row>
        <row r="33">
          <cell r="C33" t="str">
            <v>MADINTY1</v>
          </cell>
          <cell r="D33">
            <v>10885321.5</v>
          </cell>
        </row>
        <row r="34">
          <cell r="C34" t="str">
            <v>M3Morah</v>
          </cell>
          <cell r="D34">
            <v>4536709.25</v>
          </cell>
        </row>
        <row r="35">
          <cell r="C35" t="str">
            <v>Elnahas2</v>
          </cell>
          <cell r="D35">
            <v>6427320.2400000002</v>
          </cell>
        </row>
        <row r="36">
          <cell r="C36" t="str">
            <v>TRUMPH</v>
          </cell>
          <cell r="D36">
            <v>36654436.799999997</v>
          </cell>
        </row>
        <row r="37">
          <cell r="C37" t="str">
            <v>Kafrawy</v>
          </cell>
          <cell r="D37">
            <v>892177</v>
          </cell>
        </row>
        <row r="38">
          <cell r="C38" t="str">
            <v>MoharamBek</v>
          </cell>
          <cell r="D38">
            <v>18965504.25</v>
          </cell>
        </row>
        <row r="39">
          <cell r="C39" t="str">
            <v>TenthOfRamadan</v>
          </cell>
          <cell r="D39">
            <v>5132693.75</v>
          </cell>
        </row>
        <row r="40">
          <cell r="C40" t="str">
            <v>Autostorad</v>
          </cell>
          <cell r="D40">
            <v>3912103.5</v>
          </cell>
        </row>
        <row r="41">
          <cell r="C41" t="str">
            <v>Chillout_Sharm</v>
          </cell>
          <cell r="D41">
            <v>6342511.25</v>
          </cell>
        </row>
        <row r="42">
          <cell r="C42" t="str">
            <v>AIRPORT</v>
          </cell>
          <cell r="D42">
            <v>15920126.689999999</v>
          </cell>
        </row>
        <row r="43">
          <cell r="C43" t="str">
            <v>ElObour1</v>
          </cell>
          <cell r="D43">
            <v>22250621</v>
          </cell>
        </row>
        <row r="44">
          <cell r="C44" t="str">
            <v>Sheraton</v>
          </cell>
          <cell r="D44">
            <v>10899460.5</v>
          </cell>
        </row>
        <row r="45">
          <cell r="C45" t="str">
            <v>K21</v>
          </cell>
          <cell r="D45">
            <v>11941899.379999999</v>
          </cell>
        </row>
        <row r="46">
          <cell r="C46" t="str">
            <v>Dokki</v>
          </cell>
          <cell r="D46">
            <v>13218867.25</v>
          </cell>
        </row>
        <row r="47">
          <cell r="C47" t="str">
            <v>ISMAILIA_GATE</v>
          </cell>
          <cell r="D47">
            <v>17106327.240000002</v>
          </cell>
        </row>
        <row r="48">
          <cell r="C48" t="str">
            <v>Police_Academy</v>
          </cell>
          <cell r="D48">
            <v>9077550</v>
          </cell>
        </row>
        <row r="49">
          <cell r="C49" t="str">
            <v>Ismailia_Gate2</v>
          </cell>
          <cell r="D49">
            <v>16895217.75</v>
          </cell>
        </row>
        <row r="50">
          <cell r="C50" t="str">
            <v>Shinzo3</v>
          </cell>
          <cell r="D50">
            <v>1597754.25</v>
          </cell>
        </row>
        <row r="51">
          <cell r="C51" t="str">
            <v>Chillout_Tayaran</v>
          </cell>
          <cell r="D51">
            <v>8821579.25</v>
          </cell>
        </row>
        <row r="52">
          <cell r="C52" t="str">
            <v>MERGHANY</v>
          </cell>
          <cell r="D52">
            <v>5374729.75</v>
          </cell>
        </row>
        <row r="53">
          <cell r="C53" t="str">
            <v>Bluepark</v>
          </cell>
          <cell r="D53">
            <v>6148170.6899999995</v>
          </cell>
        </row>
        <row r="54">
          <cell r="C54" t="str">
            <v>Midor</v>
          </cell>
          <cell r="D54">
            <v>42170143.25</v>
          </cell>
        </row>
        <row r="55">
          <cell r="C55" t="str">
            <v>Roxy</v>
          </cell>
          <cell r="D55">
            <v>9748421</v>
          </cell>
        </row>
        <row r="56">
          <cell r="C56" t="str">
            <v>AlAmein4</v>
          </cell>
          <cell r="D56">
            <v>2060718.25</v>
          </cell>
        </row>
        <row r="57">
          <cell r="C57" t="str">
            <v>Shinzo1</v>
          </cell>
          <cell r="D57">
            <v>8030243.25</v>
          </cell>
        </row>
        <row r="58">
          <cell r="C58" t="str">
            <v>Grove</v>
          </cell>
          <cell r="D58">
            <v>3043929.25</v>
          </cell>
        </row>
        <row r="59">
          <cell r="C59" t="str">
            <v>Victoria</v>
          </cell>
          <cell r="D59">
            <v>1935669</v>
          </cell>
        </row>
        <row r="60">
          <cell r="C60" t="str">
            <v>G7</v>
          </cell>
          <cell r="D60">
            <v>8066310</v>
          </cell>
        </row>
        <row r="61">
          <cell r="C61" t="str">
            <v>K27</v>
          </cell>
          <cell r="D61">
            <v>5433201.5</v>
          </cell>
        </row>
        <row r="62">
          <cell r="C62" t="str">
            <v>Alahly2</v>
          </cell>
          <cell r="D62">
            <v>4228874.25</v>
          </cell>
        </row>
        <row r="63">
          <cell r="C63" t="str">
            <v>Pgardens</v>
          </cell>
          <cell r="D63">
            <v>44167685.329999998</v>
          </cell>
        </row>
        <row r="64">
          <cell r="C64" t="str">
            <v>Sodic_WMC</v>
          </cell>
          <cell r="D64">
            <v>5680830</v>
          </cell>
        </row>
        <row r="65">
          <cell r="C65" t="str">
            <v>Jehan</v>
          </cell>
          <cell r="D65">
            <v>10461472.939999999</v>
          </cell>
        </row>
        <row r="66">
          <cell r="C66" t="str">
            <v>AUC</v>
          </cell>
          <cell r="D66">
            <v>21915734</v>
          </cell>
        </row>
        <row r="67">
          <cell r="C67" t="str">
            <v>Batrawi2</v>
          </cell>
          <cell r="D67">
            <v>5476261.75</v>
          </cell>
        </row>
        <row r="68">
          <cell r="C68" t="str">
            <v>MarseiliaBeach4</v>
          </cell>
          <cell r="D68">
            <v>1948825.5</v>
          </cell>
        </row>
        <row r="69">
          <cell r="C69" t="str">
            <v>Shinzo2</v>
          </cell>
          <cell r="D69">
            <v>6073492.5</v>
          </cell>
        </row>
        <row r="70">
          <cell r="C70" t="str">
            <v>Alex_Gate</v>
          </cell>
          <cell r="D70">
            <v>11039510.5</v>
          </cell>
        </row>
        <row r="71">
          <cell r="C71" t="str">
            <v>Sadat</v>
          </cell>
          <cell r="D71">
            <v>24957705</v>
          </cell>
        </row>
        <row r="72">
          <cell r="C72" t="str">
            <v>UH</v>
          </cell>
          <cell r="D72">
            <v>2376998.75</v>
          </cell>
        </row>
        <row r="73">
          <cell r="C73" t="str">
            <v>AL-SHAHID2</v>
          </cell>
          <cell r="D73">
            <v>13084015.25</v>
          </cell>
        </row>
        <row r="74">
          <cell r="C74" t="str">
            <v>Merryland</v>
          </cell>
          <cell r="D74">
            <v>1983920</v>
          </cell>
        </row>
        <row r="75">
          <cell r="C75" t="str">
            <v>AlAhly1</v>
          </cell>
          <cell r="D75">
            <v>4381470.1900000004</v>
          </cell>
        </row>
        <row r="76">
          <cell r="C76" t="str">
            <v>MADINTY2</v>
          </cell>
          <cell r="D76">
            <v>5353306.25</v>
          </cell>
        </row>
        <row r="77">
          <cell r="C77" t="str">
            <v>AL-ALAMEEN</v>
          </cell>
          <cell r="D77">
            <v>2206872.5</v>
          </cell>
        </row>
        <row r="78">
          <cell r="C78" t="str">
            <v>TheView</v>
          </cell>
          <cell r="D78">
            <v>3622418</v>
          </cell>
        </row>
        <row r="79">
          <cell r="C79" t="str">
            <v>TRUMPH</v>
          </cell>
          <cell r="D79">
            <v>10279466</v>
          </cell>
        </row>
        <row r="80">
          <cell r="C80" t="str">
            <v>Shazly</v>
          </cell>
          <cell r="D80">
            <v>17760068.5</v>
          </cell>
        </row>
        <row r="81">
          <cell r="C81" t="str">
            <v>MADINTY3</v>
          </cell>
          <cell r="D81">
            <v>6583556.5</v>
          </cell>
        </row>
        <row r="82">
          <cell r="C82" t="str">
            <v>GREEN PARK</v>
          </cell>
          <cell r="D82">
            <v>11127270.25</v>
          </cell>
        </row>
        <row r="83">
          <cell r="C83" t="str">
            <v>K38</v>
          </cell>
          <cell r="D83">
            <v>1487370.69</v>
          </cell>
        </row>
        <row r="84">
          <cell r="C84" t="str">
            <v>Makan</v>
          </cell>
          <cell r="D84">
            <v>3305630</v>
          </cell>
        </row>
        <row r="85">
          <cell r="C85" t="str">
            <v>Nostalgia</v>
          </cell>
          <cell r="D85">
            <v>3337210.85</v>
          </cell>
        </row>
        <row r="86">
          <cell r="C86" t="str">
            <v>AL-REHAB</v>
          </cell>
          <cell r="D86">
            <v>46746649.549999997</v>
          </cell>
        </row>
        <row r="87">
          <cell r="C87" t="str">
            <v>FUE</v>
          </cell>
          <cell r="D87">
            <v>1982909.5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Growth %"/>
      <sheetName val="Share of Month"/>
      <sheetName val="Budget 2026 Per Month"/>
      <sheetName val="Preparation1"/>
      <sheetName val="preparation2"/>
      <sheetName val="Sheet1"/>
    </sheetNames>
    <sheetDataSet>
      <sheetData sheetId="0" refreshError="1"/>
      <sheetData sheetId="1">
        <row r="16">
          <cell r="E16">
            <v>0.4800774982947133</v>
          </cell>
        </row>
        <row r="17">
          <cell r="E17">
            <v>0.51992250170528675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Elsanhoury2</v>
          </cell>
          <cell r="C2">
            <v>399122.12000000034</v>
          </cell>
        </row>
        <row r="3">
          <cell r="B3" t="str">
            <v>AlAhly1</v>
          </cell>
          <cell r="C3">
            <v>627271.83000000147</v>
          </cell>
        </row>
        <row r="4">
          <cell r="B4" t="str">
            <v>Elsanhoury1</v>
          </cell>
          <cell r="C4">
            <v>490930.8600000001</v>
          </cell>
        </row>
        <row r="5">
          <cell r="B5" t="str">
            <v>Roxy</v>
          </cell>
          <cell r="C5">
            <v>1041956.4900000012</v>
          </cell>
        </row>
        <row r="6">
          <cell r="B6" t="str">
            <v>Bue</v>
          </cell>
          <cell r="C6">
            <v>101997</v>
          </cell>
        </row>
        <row r="7">
          <cell r="B7" t="str">
            <v>Bluepark</v>
          </cell>
          <cell r="C7">
            <v>472237.5</v>
          </cell>
        </row>
        <row r="8">
          <cell r="B8" t="str">
            <v>AIRPORT</v>
          </cell>
          <cell r="C8">
            <v>1437334.0000000005</v>
          </cell>
        </row>
        <row r="9">
          <cell r="B9" t="str">
            <v>Dolphin</v>
          </cell>
          <cell r="C9">
            <v>1574635</v>
          </cell>
        </row>
        <row r="10">
          <cell r="B10" t="str">
            <v>Sadat</v>
          </cell>
          <cell r="C10">
            <v>3267306.1799999904</v>
          </cell>
        </row>
        <row r="11">
          <cell r="B11" t="str">
            <v>TenthOfRamadan</v>
          </cell>
          <cell r="C11">
            <v>857161.80000000063</v>
          </cell>
        </row>
        <row r="12">
          <cell r="B12" t="str">
            <v>Pgardens</v>
          </cell>
          <cell r="C12">
            <v>4287347.1899999296</v>
          </cell>
        </row>
        <row r="13">
          <cell r="B13" t="str">
            <v>MADINTY3</v>
          </cell>
          <cell r="C13">
            <v>780934.20000000019</v>
          </cell>
        </row>
        <row r="14">
          <cell r="B14" t="str">
            <v>CITYSCAPE</v>
          </cell>
          <cell r="C14">
            <v>387394.81</v>
          </cell>
        </row>
        <row r="15">
          <cell r="B15" t="str">
            <v>AL-SHAHID2</v>
          </cell>
          <cell r="C15">
            <v>1653621.7700000051</v>
          </cell>
        </row>
        <row r="16">
          <cell r="B16" t="str">
            <v>Dokki</v>
          </cell>
          <cell r="C16">
            <v>1066546.7300000007</v>
          </cell>
        </row>
        <row r="17">
          <cell r="B17" t="str">
            <v>MoharamBek</v>
          </cell>
          <cell r="C17">
            <v>2670550.9199999967</v>
          </cell>
        </row>
        <row r="18">
          <cell r="B18" t="str">
            <v>MADINTY1</v>
          </cell>
          <cell r="C18">
            <v>1526361.5000000012</v>
          </cell>
        </row>
        <row r="19">
          <cell r="B19" t="str">
            <v>Kafr El-Shaikh 2</v>
          </cell>
          <cell r="C19">
            <v>805009</v>
          </cell>
        </row>
        <row r="20">
          <cell r="B20" t="str">
            <v>Alex_Gate</v>
          </cell>
          <cell r="C20">
            <v>1679389.5</v>
          </cell>
        </row>
        <row r="21">
          <cell r="B21" t="str">
            <v>MERGHANY</v>
          </cell>
          <cell r="C21">
            <v>261670.8</v>
          </cell>
        </row>
        <row r="22">
          <cell r="B22" t="str">
            <v>ELMAX</v>
          </cell>
          <cell r="C22">
            <v>393213.95000000059</v>
          </cell>
        </row>
        <row r="23">
          <cell r="B23" t="str">
            <v>Madinaty_Strip</v>
          </cell>
          <cell r="C23">
            <v>399834.06</v>
          </cell>
        </row>
        <row r="24">
          <cell r="B24" t="str">
            <v>K23</v>
          </cell>
          <cell r="C24">
            <v>228812.5</v>
          </cell>
        </row>
        <row r="25">
          <cell r="B25" t="str">
            <v>Chillout_Sharm</v>
          </cell>
          <cell r="C25">
            <v>835786.47000000149</v>
          </cell>
        </row>
        <row r="26">
          <cell r="B26" t="str">
            <v>AlAmein3</v>
          </cell>
          <cell r="C26">
            <v>979577</v>
          </cell>
        </row>
        <row r="27">
          <cell r="B27" t="str">
            <v>Assuit2</v>
          </cell>
          <cell r="C27">
            <v>453989</v>
          </cell>
        </row>
        <row r="28">
          <cell r="B28" t="str">
            <v>Adeer</v>
          </cell>
          <cell r="C28">
            <v>390624.04000000004</v>
          </cell>
        </row>
        <row r="29">
          <cell r="B29" t="str">
            <v>Zamalek_MP</v>
          </cell>
          <cell r="C29">
            <v>355438</v>
          </cell>
        </row>
        <row r="30">
          <cell r="B30" t="str">
            <v>Gesr</v>
          </cell>
          <cell r="C30">
            <v>1091943.8100000042</v>
          </cell>
        </row>
        <row r="31">
          <cell r="B31" t="str">
            <v>AL-SHAHID1</v>
          </cell>
          <cell r="C31">
            <v>3419879.8399999766</v>
          </cell>
        </row>
        <row r="32">
          <cell r="B32" t="str">
            <v>Sheraton_Stirp</v>
          </cell>
          <cell r="C32">
            <v>642171</v>
          </cell>
        </row>
        <row r="33">
          <cell r="B33" t="str">
            <v>SuperJet</v>
          </cell>
          <cell r="C33">
            <v>637813.01</v>
          </cell>
        </row>
        <row r="34">
          <cell r="B34" t="str">
            <v>K27</v>
          </cell>
          <cell r="C34">
            <v>735950.13000000187</v>
          </cell>
        </row>
        <row r="35">
          <cell r="B35" t="str">
            <v>MADINTY2</v>
          </cell>
          <cell r="C35">
            <v>522808.39000000013</v>
          </cell>
        </row>
        <row r="36">
          <cell r="B36" t="str">
            <v>Chillout_ElHorya</v>
          </cell>
          <cell r="C36">
            <v>1319770</v>
          </cell>
        </row>
        <row r="37">
          <cell r="B37" t="str">
            <v>K38</v>
          </cell>
          <cell r="C37">
            <v>1570857.7700000009</v>
          </cell>
        </row>
        <row r="38">
          <cell r="B38" t="str">
            <v>TRUMPH</v>
          </cell>
          <cell r="C38">
            <v>5132654</v>
          </cell>
        </row>
        <row r="39">
          <cell r="B39" t="str">
            <v>NOBARIA</v>
          </cell>
          <cell r="C39">
            <v>3094203.1499999668</v>
          </cell>
        </row>
        <row r="40">
          <cell r="B40" t="str">
            <v>Shinzo3</v>
          </cell>
          <cell r="C40">
            <v>347971.29000000085</v>
          </cell>
        </row>
        <row r="41">
          <cell r="B41" t="str">
            <v>Midor</v>
          </cell>
          <cell r="C41">
            <v>5569018.4099999638</v>
          </cell>
        </row>
        <row r="42">
          <cell r="B42" t="str">
            <v>Alahly2</v>
          </cell>
          <cell r="C42">
            <v>664149.47</v>
          </cell>
        </row>
        <row r="43">
          <cell r="B43" t="str">
            <v>Chillout_Tayaran</v>
          </cell>
          <cell r="C43">
            <v>802605.81000000064</v>
          </cell>
        </row>
        <row r="44">
          <cell r="B44" t="str">
            <v>Josip</v>
          </cell>
          <cell r="C44">
            <v>913127.39000000106</v>
          </cell>
        </row>
        <row r="45">
          <cell r="B45" t="str">
            <v>CHILLOUT2</v>
          </cell>
          <cell r="C45">
            <v>3701872.3599999696</v>
          </cell>
        </row>
        <row r="46">
          <cell r="B46" t="str">
            <v>Heliopolis</v>
          </cell>
          <cell r="C46">
            <v>565875.2200000002</v>
          </cell>
        </row>
        <row r="47">
          <cell r="B47" t="str">
            <v>Kersh</v>
          </cell>
          <cell r="C47">
            <v>1316282.4200000009</v>
          </cell>
        </row>
        <row r="48">
          <cell r="B48" t="str">
            <v>ElGabakhana</v>
          </cell>
          <cell r="C48">
            <v>2002085.2400000053</v>
          </cell>
        </row>
        <row r="49">
          <cell r="B49" t="str">
            <v>Nakheel</v>
          </cell>
          <cell r="C49">
            <v>3447122.6299999538</v>
          </cell>
        </row>
        <row r="50">
          <cell r="B50" t="str">
            <v>Mivida2</v>
          </cell>
          <cell r="C50">
            <v>776506.9700000002</v>
          </cell>
        </row>
        <row r="51">
          <cell r="B51" t="str">
            <v>K21</v>
          </cell>
          <cell r="C51">
            <v>1564246.7900000031</v>
          </cell>
        </row>
        <row r="52">
          <cell r="B52" t="str">
            <v>G7</v>
          </cell>
          <cell r="C52">
            <v>968317.5</v>
          </cell>
        </row>
        <row r="53">
          <cell r="B53" t="str">
            <v>Elshams</v>
          </cell>
          <cell r="C53">
            <v>693330.74000000115</v>
          </cell>
        </row>
        <row r="54">
          <cell r="B54" t="str">
            <v>Damietta2</v>
          </cell>
          <cell r="C54">
            <v>1696984.4800000007</v>
          </cell>
        </row>
        <row r="55">
          <cell r="B55" t="str">
            <v>UH</v>
          </cell>
          <cell r="C55">
            <v>281868.88000000059</v>
          </cell>
        </row>
        <row r="56">
          <cell r="B56" t="str">
            <v>NewCapital</v>
          </cell>
          <cell r="C56">
            <v>849447.12000000069</v>
          </cell>
        </row>
        <row r="57">
          <cell r="B57" t="str">
            <v>WAHA2</v>
          </cell>
          <cell r="C57">
            <v>1012869.0700000041</v>
          </cell>
        </row>
        <row r="58">
          <cell r="B58" t="str">
            <v>Shazly</v>
          </cell>
          <cell r="C58">
            <v>1895646.6200000006</v>
          </cell>
        </row>
        <row r="59">
          <cell r="B59" t="str">
            <v>Sheraton</v>
          </cell>
          <cell r="C59">
            <v>1416866.8400000038</v>
          </cell>
        </row>
        <row r="60">
          <cell r="B60" t="str">
            <v>Hegaz</v>
          </cell>
          <cell r="C60">
            <v>1283407</v>
          </cell>
        </row>
        <row r="61">
          <cell r="B61" t="str">
            <v>Ismailia_Gate2</v>
          </cell>
          <cell r="C61">
            <v>2664928.6599999955</v>
          </cell>
        </row>
        <row r="62">
          <cell r="B62" t="str">
            <v>Kafrawy</v>
          </cell>
          <cell r="C62">
            <v>919472.31000000075</v>
          </cell>
        </row>
        <row r="63">
          <cell r="B63" t="str">
            <v>TahiaMisr2</v>
          </cell>
          <cell r="C63">
            <v>1601484.0400000024</v>
          </cell>
        </row>
        <row r="64">
          <cell r="B64" t="str">
            <v>M3Morah</v>
          </cell>
          <cell r="C64">
            <v>503711.94000000099</v>
          </cell>
        </row>
        <row r="65">
          <cell r="B65" t="str">
            <v>Dunes</v>
          </cell>
          <cell r="C65">
            <v>1799803</v>
          </cell>
        </row>
        <row r="66">
          <cell r="B66" t="str">
            <v>ISMAILIA_GATE</v>
          </cell>
          <cell r="C66">
            <v>1912591.01</v>
          </cell>
        </row>
        <row r="67">
          <cell r="B67" t="str">
            <v>Kafrawy2</v>
          </cell>
          <cell r="C67">
            <v>1519333.1300000015</v>
          </cell>
        </row>
        <row r="68">
          <cell r="B68" t="str">
            <v>Smart</v>
          </cell>
          <cell r="C68">
            <v>538831.25</v>
          </cell>
        </row>
        <row r="69">
          <cell r="B69" t="str">
            <v>Sheraton walk</v>
          </cell>
          <cell r="C69">
            <v>1089730.5200000016</v>
          </cell>
        </row>
        <row r="70">
          <cell r="B70" t="str">
            <v>Sodic_WMC</v>
          </cell>
          <cell r="C70">
            <v>1200301.1000000001</v>
          </cell>
        </row>
        <row r="71">
          <cell r="B71" t="str">
            <v>Maadi Mobil</v>
          </cell>
          <cell r="C71">
            <v>2389420.1099999947</v>
          </cell>
        </row>
        <row r="72">
          <cell r="B72" t="str">
            <v>Batrawi1</v>
          </cell>
          <cell r="C72">
            <v>576504.72000000114</v>
          </cell>
        </row>
        <row r="73">
          <cell r="B73" t="str">
            <v>Batrawi2</v>
          </cell>
          <cell r="C73">
            <v>751031.87000000023</v>
          </cell>
        </row>
        <row r="74">
          <cell r="B74" t="str">
            <v>GREEN PARK</v>
          </cell>
          <cell r="C74">
            <v>1054545.3900000001</v>
          </cell>
        </row>
        <row r="75">
          <cell r="B75" t="str">
            <v>CFC</v>
          </cell>
          <cell r="C75">
            <v>4435284.459999932</v>
          </cell>
        </row>
        <row r="76">
          <cell r="B76" t="str">
            <v>AUC</v>
          </cell>
          <cell r="C76">
            <v>2431244.0799999936</v>
          </cell>
        </row>
        <row r="77">
          <cell r="B77" t="str">
            <v>Shinzo2</v>
          </cell>
          <cell r="C77">
            <v>958298.30000000133</v>
          </cell>
        </row>
        <row r="78">
          <cell r="B78" t="str">
            <v>Shinzo1</v>
          </cell>
          <cell r="C78">
            <v>1817133.6500000001</v>
          </cell>
        </row>
        <row r="79">
          <cell r="B79" t="str">
            <v>Police_Academy</v>
          </cell>
          <cell r="C79">
            <v>863464.76000000047</v>
          </cell>
        </row>
        <row r="80">
          <cell r="B80" t="str">
            <v>Tanta</v>
          </cell>
          <cell r="C80">
            <v>1121133.7100000004</v>
          </cell>
        </row>
        <row r="81">
          <cell r="B81" t="str">
            <v>Assiut</v>
          </cell>
          <cell r="C81">
            <v>582998</v>
          </cell>
        </row>
        <row r="82">
          <cell r="B82" t="str">
            <v>Elnahas2</v>
          </cell>
          <cell r="C82">
            <v>839530.36000000127</v>
          </cell>
        </row>
        <row r="83">
          <cell r="B83" t="str">
            <v>NewDamietta</v>
          </cell>
          <cell r="C83">
            <v>2382120.9599999925</v>
          </cell>
        </row>
        <row r="84">
          <cell r="B84" t="str">
            <v>ElObour1</v>
          </cell>
          <cell r="C84">
            <v>2067507.8000000077</v>
          </cell>
        </row>
        <row r="85">
          <cell r="B85" t="str">
            <v>AL-REHAB</v>
          </cell>
          <cell r="C85">
            <v>5317932.709999959</v>
          </cell>
        </row>
        <row r="86">
          <cell r="B86" t="str">
            <v>AlShorouk</v>
          </cell>
          <cell r="C86">
            <v>1747918.0800000017</v>
          </cell>
        </row>
        <row r="87">
          <cell r="B87" t="str">
            <v>Jehan</v>
          </cell>
          <cell r="C87">
            <v>1468704.730000003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Elsanhoury2</v>
          </cell>
          <cell r="C2">
            <v>238308.5</v>
          </cell>
        </row>
        <row r="3">
          <cell r="B3" t="str">
            <v>AlAhly1</v>
          </cell>
          <cell r="C3">
            <v>584907.5</v>
          </cell>
        </row>
        <row r="4">
          <cell r="B4" t="str">
            <v>Elsanhoury1</v>
          </cell>
          <cell r="C4">
            <v>525742.72</v>
          </cell>
        </row>
        <row r="5">
          <cell r="B5" t="str">
            <v>Roxy</v>
          </cell>
          <cell r="C5">
            <v>934724.5</v>
          </cell>
        </row>
        <row r="6">
          <cell r="B6" t="str">
            <v>Bue</v>
          </cell>
          <cell r="C6">
            <v>288725</v>
          </cell>
        </row>
        <row r="7">
          <cell r="B7" t="str">
            <v>Bluepark</v>
          </cell>
          <cell r="C7">
            <v>437315.5</v>
          </cell>
        </row>
        <row r="8">
          <cell r="B8" t="str">
            <v>AIRPORT</v>
          </cell>
          <cell r="C8">
            <v>1498863</v>
          </cell>
        </row>
        <row r="9">
          <cell r="B9" t="str">
            <v>Dolphin</v>
          </cell>
          <cell r="C9">
            <v>1359322.5</v>
          </cell>
        </row>
        <row r="10">
          <cell r="B10" t="str">
            <v>Sadat</v>
          </cell>
          <cell r="C10">
            <v>2801140</v>
          </cell>
        </row>
        <row r="11">
          <cell r="B11" t="str">
            <v>TenthOfRamadan</v>
          </cell>
          <cell r="C11">
            <v>783529.5</v>
          </cell>
        </row>
        <row r="12">
          <cell r="B12" t="str">
            <v>Pgardens</v>
          </cell>
          <cell r="C12">
            <v>3993436.5</v>
          </cell>
        </row>
        <row r="13">
          <cell r="B13" t="str">
            <v>MADINTY3</v>
          </cell>
          <cell r="C13">
            <v>598585</v>
          </cell>
        </row>
        <row r="14">
          <cell r="B14" t="str">
            <v>CITYSCAPE</v>
          </cell>
          <cell r="C14">
            <v>363256.37</v>
          </cell>
        </row>
        <row r="15">
          <cell r="B15" t="str">
            <v>AL-SHAHID2</v>
          </cell>
          <cell r="C15">
            <v>1510237.53</v>
          </cell>
        </row>
        <row r="16">
          <cell r="B16" t="str">
            <v>Dokki</v>
          </cell>
          <cell r="C16">
            <v>1046844</v>
          </cell>
        </row>
        <row r="17">
          <cell r="B17" t="str">
            <v>MoharamBek</v>
          </cell>
          <cell r="C17">
            <v>2678040.5</v>
          </cell>
        </row>
        <row r="18">
          <cell r="B18" t="str">
            <v>MADINTY1</v>
          </cell>
          <cell r="C18">
            <v>1438659</v>
          </cell>
        </row>
        <row r="19">
          <cell r="B19" t="str">
            <v>Kafr El-Shaikh 2</v>
          </cell>
          <cell r="C19">
            <v>775362.72</v>
          </cell>
        </row>
        <row r="20">
          <cell r="B20" t="str">
            <v>Alex_Gate</v>
          </cell>
          <cell r="C20">
            <v>1738481</v>
          </cell>
        </row>
        <row r="21">
          <cell r="B21" t="str">
            <v>MERGHANY</v>
          </cell>
          <cell r="C21">
            <v>223460</v>
          </cell>
        </row>
        <row r="22">
          <cell r="B22" t="str">
            <v>ELMAX</v>
          </cell>
          <cell r="C22">
            <v>421295.05000000005</v>
          </cell>
        </row>
        <row r="23">
          <cell r="B23" t="str">
            <v>Madinaty_Strip</v>
          </cell>
          <cell r="C23">
            <v>387834.53</v>
          </cell>
        </row>
        <row r="24">
          <cell r="B24" t="str">
            <v>K23</v>
          </cell>
          <cell r="C24">
            <v>578260</v>
          </cell>
        </row>
        <row r="25">
          <cell r="B25" t="str">
            <v>Chillout_Sharm</v>
          </cell>
          <cell r="C25">
            <v>659628.03</v>
          </cell>
        </row>
        <row r="26">
          <cell r="B26" t="str">
            <v>AlAmein3</v>
          </cell>
          <cell r="C26">
            <v>1155610</v>
          </cell>
        </row>
        <row r="27">
          <cell r="B27" t="str">
            <v>Assuit2</v>
          </cell>
          <cell r="C27">
            <v>454828</v>
          </cell>
        </row>
        <row r="28">
          <cell r="B28" t="str">
            <v>Adeer</v>
          </cell>
          <cell r="C28">
            <v>403822.61</v>
          </cell>
        </row>
        <row r="29">
          <cell r="B29" t="str">
            <v>Zamalek_MP</v>
          </cell>
          <cell r="C29">
            <v>720756</v>
          </cell>
        </row>
        <row r="30">
          <cell r="B30" t="str">
            <v>Gesr</v>
          </cell>
          <cell r="C30">
            <v>1018290.8200000003</v>
          </cell>
        </row>
        <row r="31">
          <cell r="B31" t="str">
            <v>AL-SHAHID1</v>
          </cell>
          <cell r="C31">
            <v>3069369.51</v>
          </cell>
        </row>
        <row r="32">
          <cell r="B32" t="str">
            <v>Sheraton_Stirp</v>
          </cell>
          <cell r="C32">
            <v>605388.5</v>
          </cell>
        </row>
        <row r="33">
          <cell r="B33" t="str">
            <v>SuperJet</v>
          </cell>
          <cell r="C33">
            <v>707658.5</v>
          </cell>
        </row>
        <row r="34">
          <cell r="B34" t="str">
            <v>K27</v>
          </cell>
          <cell r="C34">
            <v>701722.87</v>
          </cell>
        </row>
        <row r="35">
          <cell r="B35" t="str">
            <v>MADINTY2</v>
          </cell>
          <cell r="C35">
            <v>511547</v>
          </cell>
        </row>
        <row r="36">
          <cell r="B36" t="str">
            <v>Chillout_ElHorya</v>
          </cell>
          <cell r="C36">
            <v>1606298</v>
          </cell>
        </row>
        <row r="37">
          <cell r="B37" t="str">
            <v>K38</v>
          </cell>
          <cell r="C37">
            <v>1500830.02</v>
          </cell>
        </row>
        <row r="38">
          <cell r="B38" t="str">
            <v>TRUMPH</v>
          </cell>
          <cell r="C38">
            <v>5073403.5</v>
          </cell>
        </row>
        <row r="39">
          <cell r="B39" t="str">
            <v>NOBARIA</v>
          </cell>
          <cell r="C39">
            <v>3035992.2999999975</v>
          </cell>
        </row>
        <row r="40">
          <cell r="B40" t="str">
            <v>Shinzo3</v>
          </cell>
          <cell r="C40">
            <v>351865.5</v>
          </cell>
        </row>
        <row r="41">
          <cell r="B41" t="str">
            <v>Midor</v>
          </cell>
          <cell r="C41">
            <v>5259214</v>
          </cell>
        </row>
        <row r="42">
          <cell r="B42" t="str">
            <v>Alahly2</v>
          </cell>
          <cell r="C42">
            <v>686390.14999999991</v>
          </cell>
        </row>
        <row r="43">
          <cell r="B43" t="str">
            <v>Chillout_Tayaran</v>
          </cell>
          <cell r="C43">
            <v>746804</v>
          </cell>
        </row>
        <row r="44">
          <cell r="B44" t="str">
            <v>Josip</v>
          </cell>
          <cell r="C44">
            <v>944638.5</v>
          </cell>
        </row>
        <row r="45">
          <cell r="B45" t="str">
            <v>CHILLOUT2</v>
          </cell>
          <cell r="C45">
            <v>3442293.5999999987</v>
          </cell>
        </row>
        <row r="46">
          <cell r="B46" t="str">
            <v>Heliopolis</v>
          </cell>
          <cell r="C46">
            <v>609305.46</v>
          </cell>
        </row>
        <row r="47">
          <cell r="B47" t="str">
            <v>Kersh</v>
          </cell>
          <cell r="C47">
            <v>1292054.25</v>
          </cell>
        </row>
        <row r="48">
          <cell r="B48" t="str">
            <v>ElGabakhana</v>
          </cell>
          <cell r="C48">
            <v>1984920</v>
          </cell>
        </row>
        <row r="49">
          <cell r="B49" t="str">
            <v>Nakheel</v>
          </cell>
          <cell r="C49">
            <v>3060593.2999999993</v>
          </cell>
        </row>
        <row r="50">
          <cell r="B50" t="str">
            <v>Mivida2</v>
          </cell>
          <cell r="C50">
            <v>631972.4800000001</v>
          </cell>
        </row>
        <row r="51">
          <cell r="B51" t="str">
            <v>K21</v>
          </cell>
          <cell r="C51">
            <v>1367693.5</v>
          </cell>
        </row>
        <row r="52">
          <cell r="B52" t="str">
            <v>G7</v>
          </cell>
          <cell r="C52">
            <v>959005</v>
          </cell>
        </row>
        <row r="53">
          <cell r="B53" t="str">
            <v>Elshams</v>
          </cell>
          <cell r="C53">
            <v>645158</v>
          </cell>
        </row>
        <row r="54">
          <cell r="B54" t="str">
            <v>Damietta2</v>
          </cell>
          <cell r="C54">
            <v>1601470.85</v>
          </cell>
        </row>
        <row r="55">
          <cell r="B55" t="str">
            <v>UH</v>
          </cell>
          <cell r="C55">
            <v>588573.96</v>
          </cell>
        </row>
        <row r="56">
          <cell r="B56" t="str">
            <v>NewCapital</v>
          </cell>
          <cell r="C56">
            <v>1030787</v>
          </cell>
        </row>
        <row r="57">
          <cell r="B57" t="str">
            <v>WAHA2</v>
          </cell>
          <cell r="C57">
            <v>1004214</v>
          </cell>
        </row>
        <row r="58">
          <cell r="B58" t="str">
            <v>Shazly</v>
          </cell>
          <cell r="C58">
            <v>2021230</v>
          </cell>
        </row>
        <row r="59">
          <cell r="B59" t="str">
            <v>Sheraton</v>
          </cell>
          <cell r="C59">
            <v>1401335.2100000002</v>
          </cell>
        </row>
        <row r="60">
          <cell r="B60" t="str">
            <v>Hegaz</v>
          </cell>
          <cell r="C60">
            <v>1178067</v>
          </cell>
        </row>
        <row r="61">
          <cell r="B61" t="str">
            <v>Ismailia_Gate2</v>
          </cell>
          <cell r="C61">
            <v>2372651.5</v>
          </cell>
        </row>
        <row r="62">
          <cell r="B62" t="str">
            <v>Kafrawy</v>
          </cell>
          <cell r="C62">
            <v>913798</v>
          </cell>
        </row>
        <row r="63">
          <cell r="B63" t="str">
            <v>TahiaMisr2</v>
          </cell>
          <cell r="C63">
            <v>1531959.03</v>
          </cell>
        </row>
        <row r="64">
          <cell r="B64" t="str">
            <v>M3Morah</v>
          </cell>
          <cell r="C64">
            <v>432507.60000000009</v>
          </cell>
        </row>
        <row r="65">
          <cell r="B65" t="str">
            <v>Dunes</v>
          </cell>
          <cell r="C65">
            <v>1692483.5</v>
          </cell>
        </row>
        <row r="66">
          <cell r="B66" t="str">
            <v>Kafrawy2</v>
          </cell>
          <cell r="C66">
            <v>1320582.6200000006</v>
          </cell>
        </row>
        <row r="67">
          <cell r="B67" t="str">
            <v>ISMAILIA_GATE</v>
          </cell>
          <cell r="C67">
            <v>1861018</v>
          </cell>
        </row>
        <row r="68">
          <cell r="B68" t="str">
            <v>Smart</v>
          </cell>
          <cell r="C68">
            <v>705659.5</v>
          </cell>
        </row>
        <row r="69">
          <cell r="B69" t="str">
            <v>Sheraton walk</v>
          </cell>
          <cell r="C69">
            <v>1048922</v>
          </cell>
        </row>
        <row r="70">
          <cell r="B70" t="str">
            <v>Sodic_WMC</v>
          </cell>
          <cell r="C70">
            <v>1069041.5</v>
          </cell>
        </row>
        <row r="71">
          <cell r="B71" t="str">
            <v>Maadi Mobil</v>
          </cell>
          <cell r="C71">
            <v>2221304.02</v>
          </cell>
        </row>
        <row r="72">
          <cell r="B72" t="str">
            <v>Batrawi1</v>
          </cell>
          <cell r="C72">
            <v>545587</v>
          </cell>
        </row>
        <row r="73">
          <cell r="B73" t="str">
            <v>Batrawi2</v>
          </cell>
          <cell r="C73">
            <v>751057.28</v>
          </cell>
        </row>
        <row r="74">
          <cell r="B74" t="str">
            <v>GREEN PARK</v>
          </cell>
          <cell r="C74">
            <v>852030</v>
          </cell>
        </row>
        <row r="75">
          <cell r="B75" t="str">
            <v>CFC</v>
          </cell>
          <cell r="C75">
            <v>4520986.1799999988</v>
          </cell>
        </row>
        <row r="76">
          <cell r="B76" t="str">
            <v>AUC</v>
          </cell>
          <cell r="C76">
            <v>2312804</v>
          </cell>
        </row>
        <row r="77">
          <cell r="B77" t="str">
            <v>Shinzo2</v>
          </cell>
          <cell r="C77">
            <v>925573.5</v>
          </cell>
        </row>
        <row r="78">
          <cell r="B78" t="str">
            <v>Shinzo1</v>
          </cell>
          <cell r="C78">
            <v>1619187.5</v>
          </cell>
        </row>
        <row r="79">
          <cell r="B79" t="str">
            <v>Police_Academy</v>
          </cell>
          <cell r="C79">
            <v>361319</v>
          </cell>
        </row>
        <row r="80">
          <cell r="B80" t="str">
            <v>Tanta</v>
          </cell>
          <cell r="C80">
            <v>1001544.1500000001</v>
          </cell>
        </row>
        <row r="81">
          <cell r="B81" t="str">
            <v>Assiut</v>
          </cell>
          <cell r="C81">
            <v>483550</v>
          </cell>
        </row>
        <row r="82">
          <cell r="B82" t="str">
            <v>Elnahas2</v>
          </cell>
          <cell r="C82">
            <v>746701.5</v>
          </cell>
        </row>
        <row r="83">
          <cell r="B83" t="str">
            <v>NewDamietta</v>
          </cell>
          <cell r="C83">
            <v>2242313.1199999992</v>
          </cell>
        </row>
        <row r="84">
          <cell r="B84" t="str">
            <v>ElObour1</v>
          </cell>
          <cell r="C84">
            <v>1807233.1500000001</v>
          </cell>
        </row>
        <row r="85">
          <cell r="B85" t="str">
            <v>AL-REHAB</v>
          </cell>
          <cell r="C85">
            <v>4819418.3599999994</v>
          </cell>
        </row>
        <row r="86">
          <cell r="B86" t="str">
            <v>AlShorouk</v>
          </cell>
          <cell r="C86">
            <v>1655806.6</v>
          </cell>
        </row>
        <row r="87">
          <cell r="B87" t="str">
            <v>Jehan</v>
          </cell>
          <cell r="C87">
            <v>1399531.52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Elsanhoury2</v>
          </cell>
          <cell r="C2">
            <v>317994</v>
          </cell>
        </row>
        <row r="3">
          <cell r="B3" t="str">
            <v>AlAhly1</v>
          </cell>
          <cell r="C3">
            <v>389098</v>
          </cell>
        </row>
        <row r="4">
          <cell r="B4" t="str">
            <v>Elsanhoury1</v>
          </cell>
          <cell r="C4">
            <v>370104</v>
          </cell>
        </row>
        <row r="5">
          <cell r="B5" t="str">
            <v>Roxy</v>
          </cell>
          <cell r="C5">
            <v>917761.29</v>
          </cell>
        </row>
        <row r="6">
          <cell r="B6" t="str">
            <v>Bue</v>
          </cell>
          <cell r="C6">
            <v>47996</v>
          </cell>
        </row>
        <row r="7">
          <cell r="B7" t="str">
            <v>Bluepark</v>
          </cell>
          <cell r="C7">
            <v>317758</v>
          </cell>
        </row>
        <row r="8">
          <cell r="B8" t="str">
            <v>AIRPORT</v>
          </cell>
          <cell r="C8">
            <v>1046590.5</v>
          </cell>
        </row>
        <row r="9">
          <cell r="B9" t="str">
            <v>Dolphin</v>
          </cell>
          <cell r="C9">
            <v>1087652</v>
          </cell>
        </row>
        <row r="10">
          <cell r="B10" t="str">
            <v>Sadat</v>
          </cell>
          <cell r="C10">
            <v>2482112.5</v>
          </cell>
        </row>
        <row r="11">
          <cell r="B11" t="str">
            <v>TenthOfRamadan</v>
          </cell>
          <cell r="C11">
            <v>784208</v>
          </cell>
        </row>
        <row r="12">
          <cell r="B12" t="str">
            <v>Pgardens</v>
          </cell>
          <cell r="C12">
            <v>2842909</v>
          </cell>
        </row>
        <row r="13">
          <cell r="B13" t="str">
            <v>MADINTY3</v>
          </cell>
          <cell r="C13">
            <v>585306</v>
          </cell>
        </row>
        <row r="14">
          <cell r="B14" t="str">
            <v>CITYSCAPE</v>
          </cell>
          <cell r="C14">
            <v>356580</v>
          </cell>
        </row>
        <row r="15">
          <cell r="B15" t="str">
            <v>AL-SHAHID2</v>
          </cell>
          <cell r="C15">
            <v>785776.5</v>
          </cell>
        </row>
        <row r="16">
          <cell r="B16" t="str">
            <v>Dokki</v>
          </cell>
          <cell r="C16">
            <v>854131</v>
          </cell>
        </row>
        <row r="17">
          <cell r="B17" t="str">
            <v>MoharamBek</v>
          </cell>
          <cell r="C17">
            <v>1633131</v>
          </cell>
        </row>
        <row r="18">
          <cell r="B18" t="str">
            <v>MADINTY1</v>
          </cell>
          <cell r="C18">
            <v>1172086</v>
          </cell>
        </row>
        <row r="19">
          <cell r="B19" t="str">
            <v>Kafr El-Shaikh 2</v>
          </cell>
          <cell r="C19">
            <v>650510</v>
          </cell>
        </row>
        <row r="20">
          <cell r="B20" t="str">
            <v>Alex_Gate</v>
          </cell>
          <cell r="C20">
            <v>1062184.5</v>
          </cell>
        </row>
        <row r="21">
          <cell r="B21" t="str">
            <v>MERGHANY</v>
          </cell>
          <cell r="C21">
            <v>158470</v>
          </cell>
        </row>
        <row r="22">
          <cell r="B22" t="str">
            <v>ELMAX</v>
          </cell>
          <cell r="C22">
            <v>321865</v>
          </cell>
        </row>
        <row r="23">
          <cell r="B23" t="str">
            <v>Madinaty_Strip</v>
          </cell>
          <cell r="C23">
            <v>305205</v>
          </cell>
        </row>
        <row r="24">
          <cell r="B24" t="str">
            <v>K23</v>
          </cell>
          <cell r="C24">
            <v>339232</v>
          </cell>
        </row>
        <row r="25">
          <cell r="B25" t="str">
            <v>Chillout_Sharm</v>
          </cell>
          <cell r="C25">
            <v>439691.39</v>
          </cell>
        </row>
        <row r="26">
          <cell r="B26" t="str">
            <v>AlAmein3</v>
          </cell>
          <cell r="C26">
            <v>652677.58000000007</v>
          </cell>
        </row>
        <row r="27">
          <cell r="B27" t="str">
            <v>Assuit2</v>
          </cell>
          <cell r="C27">
            <v>306315</v>
          </cell>
        </row>
        <row r="28">
          <cell r="B28" t="str">
            <v>Adeer</v>
          </cell>
          <cell r="C28">
            <v>359553</v>
          </cell>
        </row>
        <row r="29">
          <cell r="B29" t="str">
            <v>Zamalek_MP</v>
          </cell>
          <cell r="C29">
            <v>657481.5</v>
          </cell>
        </row>
        <row r="30">
          <cell r="B30" t="str">
            <v>Gesr</v>
          </cell>
          <cell r="C30">
            <v>717304</v>
          </cell>
        </row>
        <row r="31">
          <cell r="B31" t="str">
            <v>AL-SHAHID1</v>
          </cell>
          <cell r="C31">
            <v>2309536.5</v>
          </cell>
        </row>
        <row r="32">
          <cell r="B32" t="str">
            <v>Sheraton_Stirp</v>
          </cell>
          <cell r="C32">
            <v>403201</v>
          </cell>
        </row>
        <row r="33">
          <cell r="B33" t="str">
            <v>SuperJet</v>
          </cell>
          <cell r="C33">
            <v>493035.45999999996</v>
          </cell>
        </row>
        <row r="34">
          <cell r="B34" t="str">
            <v>K27</v>
          </cell>
          <cell r="C34">
            <v>375019</v>
          </cell>
        </row>
        <row r="35">
          <cell r="B35" t="str">
            <v>MADINTY2</v>
          </cell>
          <cell r="C35">
            <v>491526</v>
          </cell>
        </row>
        <row r="36">
          <cell r="B36" t="str">
            <v>Chillout_ElHorya</v>
          </cell>
          <cell r="C36">
            <v>1116977</v>
          </cell>
        </row>
        <row r="37">
          <cell r="B37" t="str">
            <v>K38</v>
          </cell>
          <cell r="C37">
            <v>756546</v>
          </cell>
        </row>
        <row r="38">
          <cell r="B38" t="str">
            <v>TRUMPH</v>
          </cell>
          <cell r="C38">
            <v>3268612</v>
          </cell>
        </row>
        <row r="39">
          <cell r="B39" t="str">
            <v>NOBARIA</v>
          </cell>
          <cell r="C39">
            <v>1535966</v>
          </cell>
        </row>
        <row r="40">
          <cell r="B40" t="str">
            <v>Shinzo3</v>
          </cell>
          <cell r="C40">
            <v>267126</v>
          </cell>
        </row>
        <row r="41">
          <cell r="B41" t="str">
            <v>Midor</v>
          </cell>
          <cell r="C41">
            <v>4076086</v>
          </cell>
        </row>
        <row r="42">
          <cell r="B42" t="str">
            <v>Alahly2</v>
          </cell>
          <cell r="C42">
            <v>598398.69999999995</v>
          </cell>
        </row>
        <row r="43">
          <cell r="B43" t="str">
            <v>Chillout_Tayaran</v>
          </cell>
          <cell r="C43">
            <v>560040.5</v>
          </cell>
        </row>
        <row r="44">
          <cell r="B44" t="str">
            <v>Josip</v>
          </cell>
          <cell r="C44">
            <v>783248</v>
          </cell>
        </row>
        <row r="45">
          <cell r="B45" t="str">
            <v>CHILLOUT2</v>
          </cell>
          <cell r="C45">
            <v>1867581</v>
          </cell>
        </row>
        <row r="46">
          <cell r="B46" t="str">
            <v>Heliopolis</v>
          </cell>
          <cell r="C46">
            <v>387766</v>
          </cell>
        </row>
        <row r="47">
          <cell r="B47" t="str">
            <v>Kersh</v>
          </cell>
          <cell r="C47">
            <v>1264262</v>
          </cell>
        </row>
        <row r="48">
          <cell r="B48" t="str">
            <v>ElGabakhana</v>
          </cell>
          <cell r="C48">
            <v>1257224</v>
          </cell>
        </row>
        <row r="49">
          <cell r="B49" t="str">
            <v>Nakheel</v>
          </cell>
          <cell r="C49">
            <v>2360876</v>
          </cell>
        </row>
        <row r="50">
          <cell r="B50" t="str">
            <v>Mivida2</v>
          </cell>
          <cell r="C50">
            <v>699500</v>
          </cell>
        </row>
        <row r="51">
          <cell r="B51" t="str">
            <v>K21</v>
          </cell>
          <cell r="C51">
            <v>1044196</v>
          </cell>
        </row>
        <row r="52">
          <cell r="B52" t="str">
            <v>G7</v>
          </cell>
          <cell r="C52">
            <v>793708.36</v>
          </cell>
        </row>
        <row r="53">
          <cell r="B53" t="str">
            <v>Elshams</v>
          </cell>
          <cell r="C53">
            <v>625561</v>
          </cell>
        </row>
        <row r="54">
          <cell r="B54" t="str">
            <v>Damietta2</v>
          </cell>
          <cell r="C54">
            <v>1190965.25</v>
          </cell>
        </row>
        <row r="55">
          <cell r="B55" t="str">
            <v>UH</v>
          </cell>
          <cell r="C55">
            <v>76589</v>
          </cell>
        </row>
        <row r="56">
          <cell r="B56" t="str">
            <v>NewCapital</v>
          </cell>
          <cell r="C56">
            <v>211407</v>
          </cell>
        </row>
        <row r="57">
          <cell r="B57" t="str">
            <v>WAHA2</v>
          </cell>
          <cell r="C57">
            <v>422894</v>
          </cell>
        </row>
        <row r="58">
          <cell r="B58" t="str">
            <v>Shazly</v>
          </cell>
          <cell r="C58">
            <v>1247545</v>
          </cell>
        </row>
        <row r="59">
          <cell r="B59" t="str">
            <v>Sheraton</v>
          </cell>
          <cell r="C59">
            <v>1292501.5</v>
          </cell>
        </row>
        <row r="60">
          <cell r="B60" t="str">
            <v>Hegaz</v>
          </cell>
          <cell r="C60">
            <v>991623</v>
          </cell>
        </row>
        <row r="61">
          <cell r="B61" t="str">
            <v>Ismailia_Gate2</v>
          </cell>
          <cell r="C61">
            <v>1458385.5</v>
          </cell>
        </row>
        <row r="62">
          <cell r="B62" t="str">
            <v>Kafrawy</v>
          </cell>
          <cell r="C62">
            <v>648565</v>
          </cell>
        </row>
        <row r="63">
          <cell r="B63" t="str">
            <v>TahiaMisr2</v>
          </cell>
          <cell r="C63">
            <v>1010578</v>
          </cell>
        </row>
        <row r="64">
          <cell r="B64" t="str">
            <v>M3Morah</v>
          </cell>
          <cell r="C64">
            <v>342525</v>
          </cell>
        </row>
        <row r="65">
          <cell r="B65" t="str">
            <v>Dunes</v>
          </cell>
          <cell r="C65">
            <v>1330515.5</v>
          </cell>
        </row>
        <row r="66">
          <cell r="B66" t="str">
            <v>ISMAILIA_GATE</v>
          </cell>
          <cell r="C66">
            <v>1029107</v>
          </cell>
        </row>
        <row r="67">
          <cell r="B67" t="str">
            <v>Kafrawy2</v>
          </cell>
          <cell r="C67">
            <v>886666</v>
          </cell>
        </row>
        <row r="68">
          <cell r="B68" t="str">
            <v>Smart</v>
          </cell>
          <cell r="C68">
            <v>529219</v>
          </cell>
        </row>
        <row r="69">
          <cell r="B69" t="str">
            <v>Sheraton walk</v>
          </cell>
          <cell r="C69">
            <v>857824</v>
          </cell>
        </row>
        <row r="70">
          <cell r="B70" t="str">
            <v>Sodic_WMC</v>
          </cell>
          <cell r="C70">
            <v>982350</v>
          </cell>
        </row>
        <row r="71">
          <cell r="B71" t="str">
            <v>Maadi Mobil</v>
          </cell>
          <cell r="C71">
            <v>1935226</v>
          </cell>
        </row>
        <row r="72">
          <cell r="B72" t="str">
            <v>Batrawi1</v>
          </cell>
          <cell r="C72">
            <v>559863</v>
          </cell>
        </row>
        <row r="73">
          <cell r="B73" t="str">
            <v>Batrawi2</v>
          </cell>
          <cell r="C73">
            <v>624032.10000000009</v>
          </cell>
        </row>
        <row r="74">
          <cell r="B74" t="str">
            <v>GREEN PARK</v>
          </cell>
          <cell r="C74">
            <v>727706</v>
          </cell>
        </row>
        <row r="75">
          <cell r="B75" t="str">
            <v>CFC</v>
          </cell>
          <cell r="C75">
            <v>3061362.5</v>
          </cell>
        </row>
        <row r="76">
          <cell r="B76" t="str">
            <v>AUC</v>
          </cell>
          <cell r="C76">
            <v>1595333</v>
          </cell>
        </row>
        <row r="77">
          <cell r="B77" t="str">
            <v>Shinzo2</v>
          </cell>
          <cell r="C77">
            <v>638491</v>
          </cell>
        </row>
        <row r="78">
          <cell r="B78" t="str">
            <v>Shinzo1</v>
          </cell>
          <cell r="C78">
            <v>1176480</v>
          </cell>
        </row>
        <row r="79">
          <cell r="B79" t="str">
            <v>Police_Academy</v>
          </cell>
          <cell r="C79">
            <v>776547</v>
          </cell>
        </row>
        <row r="80">
          <cell r="B80" t="str">
            <v>Tanta</v>
          </cell>
          <cell r="C80">
            <v>842264.8</v>
          </cell>
        </row>
        <row r="81">
          <cell r="B81" t="str">
            <v>Assiut</v>
          </cell>
          <cell r="C81">
            <v>459426</v>
          </cell>
        </row>
        <row r="82">
          <cell r="B82" t="str">
            <v>Elnahas2</v>
          </cell>
          <cell r="C82">
            <v>604391</v>
          </cell>
        </row>
        <row r="83">
          <cell r="B83" t="str">
            <v>NewDamietta</v>
          </cell>
          <cell r="C83">
            <v>1562302</v>
          </cell>
        </row>
        <row r="84">
          <cell r="B84" t="str">
            <v>ElObour1</v>
          </cell>
          <cell r="C84">
            <v>1522117.5</v>
          </cell>
        </row>
        <row r="85">
          <cell r="B85" t="str">
            <v>AL-REHAB</v>
          </cell>
          <cell r="C85">
            <v>3650407.66</v>
          </cell>
        </row>
        <row r="86">
          <cell r="B86" t="str">
            <v>AlShorouk</v>
          </cell>
          <cell r="C86">
            <v>1068481</v>
          </cell>
        </row>
        <row r="87">
          <cell r="B87" t="str">
            <v>Jehan</v>
          </cell>
          <cell r="C87">
            <v>858578.5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Elsanhoury2</v>
          </cell>
          <cell r="C2">
            <v>391054.16000000009</v>
          </cell>
        </row>
        <row r="3">
          <cell r="B3" t="str">
            <v>AlAhly1</v>
          </cell>
          <cell r="C3">
            <v>557744.74000000022</v>
          </cell>
        </row>
        <row r="4">
          <cell r="B4" t="str">
            <v>Elsanhoury1</v>
          </cell>
          <cell r="C4">
            <v>521991.03</v>
          </cell>
        </row>
        <row r="5">
          <cell r="B5" t="str">
            <v>Roxy</v>
          </cell>
          <cell r="C5">
            <v>1152758.2200000002</v>
          </cell>
        </row>
        <row r="6">
          <cell r="B6" t="str">
            <v>Bue</v>
          </cell>
          <cell r="C6">
            <v>265119</v>
          </cell>
        </row>
        <row r="7">
          <cell r="B7" t="str">
            <v>Bluepark</v>
          </cell>
          <cell r="C7">
            <v>383686</v>
          </cell>
        </row>
        <row r="8">
          <cell r="B8" t="str">
            <v>AIRPORT</v>
          </cell>
          <cell r="C8">
            <v>1499000.2</v>
          </cell>
        </row>
        <row r="9">
          <cell r="B9" t="str">
            <v>Dolphin</v>
          </cell>
          <cell r="C9">
            <v>1495441.1999999997</v>
          </cell>
        </row>
        <row r="10">
          <cell r="B10" t="str">
            <v>Sadat</v>
          </cell>
          <cell r="C10">
            <v>3308446.3799999976</v>
          </cell>
        </row>
        <row r="11">
          <cell r="B11" t="str">
            <v>TenthOfRamadan</v>
          </cell>
          <cell r="C11">
            <v>864953</v>
          </cell>
        </row>
        <row r="12">
          <cell r="B12" t="str">
            <v>Pgardens</v>
          </cell>
          <cell r="C12">
            <v>4177736.5399999972</v>
          </cell>
        </row>
        <row r="13">
          <cell r="B13" t="str">
            <v>MADINTY3</v>
          </cell>
          <cell r="C13">
            <v>758774</v>
          </cell>
        </row>
        <row r="14">
          <cell r="B14" t="str">
            <v>CITYSCAPE</v>
          </cell>
          <cell r="C14">
            <v>435452.43</v>
          </cell>
        </row>
        <row r="15">
          <cell r="B15" t="str">
            <v>AL-SHAHID2</v>
          </cell>
          <cell r="C15">
            <v>1342255.9500000002</v>
          </cell>
        </row>
        <row r="16">
          <cell r="B16" t="str">
            <v>Dokki</v>
          </cell>
          <cell r="C16">
            <v>1093540.5400000003</v>
          </cell>
        </row>
        <row r="17">
          <cell r="B17" t="str">
            <v>MoharamBek</v>
          </cell>
          <cell r="C17">
            <v>3191937</v>
          </cell>
        </row>
        <row r="18">
          <cell r="B18" t="str">
            <v>MADINTY1</v>
          </cell>
          <cell r="C18">
            <v>1504611</v>
          </cell>
        </row>
        <row r="19">
          <cell r="B19" t="str">
            <v>Kafr El-Shaikh 2</v>
          </cell>
          <cell r="C19">
            <v>1036330</v>
          </cell>
        </row>
        <row r="20">
          <cell r="B20" t="str">
            <v>Alex_Gate</v>
          </cell>
          <cell r="C20">
            <v>1866807</v>
          </cell>
        </row>
        <row r="21">
          <cell r="B21" t="str">
            <v>MERGHANY</v>
          </cell>
          <cell r="C21">
            <v>228858</v>
          </cell>
        </row>
        <row r="22">
          <cell r="B22" t="str">
            <v>ELMAX</v>
          </cell>
          <cell r="C22">
            <v>473337.4800000001</v>
          </cell>
        </row>
        <row r="23">
          <cell r="B23" t="str">
            <v>Madinaty_Strip</v>
          </cell>
          <cell r="C23">
            <v>444893.39</v>
          </cell>
        </row>
        <row r="24">
          <cell r="B24" t="str">
            <v>K23</v>
          </cell>
          <cell r="C24">
            <v>640997.09</v>
          </cell>
        </row>
        <row r="25">
          <cell r="B25" t="str">
            <v>Chillout_Sharm</v>
          </cell>
          <cell r="C25">
            <v>878242.47</v>
          </cell>
        </row>
        <row r="26">
          <cell r="B26" t="str">
            <v>AlAmein3</v>
          </cell>
          <cell r="C26">
            <v>1528906.5</v>
          </cell>
        </row>
        <row r="27">
          <cell r="B27" t="str">
            <v>Assuit2</v>
          </cell>
          <cell r="C27">
            <v>563308</v>
          </cell>
        </row>
        <row r="28">
          <cell r="B28" t="str">
            <v>Adeer</v>
          </cell>
          <cell r="C28">
            <v>429677</v>
          </cell>
        </row>
        <row r="29">
          <cell r="B29" t="str">
            <v>Zamalek_MP</v>
          </cell>
          <cell r="C29">
            <v>1098075.1000000001</v>
          </cell>
        </row>
        <row r="30">
          <cell r="B30" t="str">
            <v>Gesr</v>
          </cell>
          <cell r="C30">
            <v>1040587</v>
          </cell>
        </row>
        <row r="31">
          <cell r="B31" t="str">
            <v>AL-SHAHID1</v>
          </cell>
          <cell r="C31">
            <v>3191456.6699999957</v>
          </cell>
        </row>
        <row r="32">
          <cell r="B32" t="str">
            <v>Sheraton_Stirp</v>
          </cell>
          <cell r="C32">
            <v>509971.53</v>
          </cell>
        </row>
        <row r="33">
          <cell r="B33" t="str">
            <v>SuperJet</v>
          </cell>
          <cell r="C33">
            <v>638179</v>
          </cell>
        </row>
        <row r="34">
          <cell r="B34" t="str">
            <v>K27</v>
          </cell>
          <cell r="C34">
            <v>656441.06000000006</v>
          </cell>
        </row>
        <row r="35">
          <cell r="B35" t="str">
            <v>MADINTY2</v>
          </cell>
          <cell r="C35">
            <v>592668</v>
          </cell>
        </row>
        <row r="36">
          <cell r="B36" t="str">
            <v>Chillout_ElHorya</v>
          </cell>
          <cell r="C36">
            <v>2048509.3</v>
          </cell>
        </row>
        <row r="37">
          <cell r="B37" t="str">
            <v>K38</v>
          </cell>
          <cell r="C37">
            <v>1706269.2000000002</v>
          </cell>
        </row>
        <row r="38">
          <cell r="B38" t="str">
            <v>TRUMPH</v>
          </cell>
          <cell r="C38">
            <v>4907708.5</v>
          </cell>
        </row>
        <row r="39">
          <cell r="B39" t="str">
            <v>NOBARIA</v>
          </cell>
          <cell r="C39">
            <v>3202505</v>
          </cell>
        </row>
        <row r="40">
          <cell r="B40" t="str">
            <v>Shinzo3</v>
          </cell>
          <cell r="C40">
            <v>383517</v>
          </cell>
        </row>
        <row r="41">
          <cell r="B41" t="str">
            <v>Midor</v>
          </cell>
          <cell r="C41">
            <v>5559430.1299999887</v>
          </cell>
        </row>
        <row r="42">
          <cell r="B42" t="str">
            <v>Alahly2</v>
          </cell>
          <cell r="C42">
            <v>707609.28</v>
          </cell>
        </row>
        <row r="43">
          <cell r="B43" t="str">
            <v>Chillout_Tayaran</v>
          </cell>
          <cell r="C43">
            <v>799310</v>
          </cell>
        </row>
        <row r="44">
          <cell r="B44" t="str">
            <v>Josip</v>
          </cell>
          <cell r="C44">
            <v>1055735</v>
          </cell>
        </row>
        <row r="45">
          <cell r="B45" t="str">
            <v>CHILLOUT2</v>
          </cell>
          <cell r="C45">
            <v>3748657.7299999986</v>
          </cell>
        </row>
        <row r="46">
          <cell r="B46" t="str">
            <v>Heliopolis</v>
          </cell>
          <cell r="C46">
            <v>581578.33000000007</v>
          </cell>
        </row>
        <row r="47">
          <cell r="B47" t="str">
            <v>Kersh</v>
          </cell>
          <cell r="C47">
            <v>1393287</v>
          </cell>
        </row>
        <row r="48">
          <cell r="B48" t="str">
            <v>ElGabakhana</v>
          </cell>
          <cell r="C48">
            <v>2000318.2800000003</v>
          </cell>
        </row>
        <row r="49">
          <cell r="B49" t="str">
            <v>Nakheel</v>
          </cell>
          <cell r="C49">
            <v>3332212.0599999996</v>
          </cell>
        </row>
        <row r="50">
          <cell r="B50" t="str">
            <v>Mivida2</v>
          </cell>
          <cell r="C50">
            <v>935079</v>
          </cell>
        </row>
        <row r="51">
          <cell r="B51" t="str">
            <v>K21</v>
          </cell>
          <cell r="C51">
            <v>1803759</v>
          </cell>
        </row>
        <row r="52">
          <cell r="B52" t="str">
            <v>G7</v>
          </cell>
          <cell r="C52">
            <v>1072328</v>
          </cell>
        </row>
        <row r="53">
          <cell r="B53" t="str">
            <v>Elshams</v>
          </cell>
          <cell r="C53">
            <v>672094.03</v>
          </cell>
        </row>
        <row r="54">
          <cell r="B54" t="str">
            <v>Damietta2</v>
          </cell>
          <cell r="C54">
            <v>1816376.75</v>
          </cell>
        </row>
        <row r="55">
          <cell r="B55" t="str">
            <v>UH</v>
          </cell>
          <cell r="C55">
            <v>305425</v>
          </cell>
        </row>
        <row r="56">
          <cell r="B56" t="str">
            <v>NewCapital</v>
          </cell>
          <cell r="C56">
            <v>897213</v>
          </cell>
        </row>
        <row r="57">
          <cell r="B57" t="str">
            <v>WAHA2</v>
          </cell>
          <cell r="C57">
            <v>2409406</v>
          </cell>
        </row>
        <row r="58">
          <cell r="B58" t="str">
            <v>Shazly</v>
          </cell>
          <cell r="C58">
            <v>2106256.830000001</v>
          </cell>
        </row>
        <row r="59">
          <cell r="B59" t="str">
            <v>Sheraton</v>
          </cell>
          <cell r="C59">
            <v>1544889.4500000004</v>
          </cell>
        </row>
        <row r="60">
          <cell r="B60" t="str">
            <v>Hegaz</v>
          </cell>
          <cell r="C60">
            <v>1221220</v>
          </cell>
        </row>
        <row r="61">
          <cell r="B61" t="str">
            <v>Ismailia_Gate2</v>
          </cell>
          <cell r="C61">
            <v>2550638.7599999974</v>
          </cell>
        </row>
        <row r="62">
          <cell r="B62" t="str">
            <v>Kafrawy</v>
          </cell>
          <cell r="C62">
            <v>1010471</v>
          </cell>
        </row>
        <row r="63">
          <cell r="B63" t="str">
            <v>TahiaMisr2</v>
          </cell>
          <cell r="C63">
            <v>1561530</v>
          </cell>
        </row>
        <row r="64">
          <cell r="B64" t="str">
            <v>M3Morah</v>
          </cell>
          <cell r="C64">
            <v>465494.18000000011</v>
          </cell>
        </row>
        <row r="65">
          <cell r="B65" t="str">
            <v>Dunes</v>
          </cell>
          <cell r="C65">
            <v>1921202.1400000001</v>
          </cell>
        </row>
        <row r="66">
          <cell r="B66" t="str">
            <v>ISMAILIA_GATE</v>
          </cell>
          <cell r="C66">
            <v>1966069</v>
          </cell>
        </row>
        <row r="67">
          <cell r="B67" t="str">
            <v>Kafrawy2</v>
          </cell>
          <cell r="C67">
            <v>1278492.7000000002</v>
          </cell>
        </row>
        <row r="68">
          <cell r="B68" t="str">
            <v>Smart</v>
          </cell>
          <cell r="C68">
            <v>848590.05</v>
          </cell>
        </row>
        <row r="69">
          <cell r="B69" t="str">
            <v>Sheraton walk</v>
          </cell>
          <cell r="C69">
            <v>1263266</v>
          </cell>
        </row>
        <row r="70">
          <cell r="B70" t="str">
            <v>Sodic_WMC</v>
          </cell>
          <cell r="C70">
            <v>1435459.3400000003</v>
          </cell>
        </row>
        <row r="71">
          <cell r="B71" t="str">
            <v>Maadi Mobil</v>
          </cell>
          <cell r="C71">
            <v>2646895.1599999992</v>
          </cell>
        </row>
        <row r="72">
          <cell r="B72" t="str">
            <v>Batrawi1</v>
          </cell>
          <cell r="C72">
            <v>567757</v>
          </cell>
        </row>
        <row r="73">
          <cell r="B73" t="str">
            <v>Batrawi2</v>
          </cell>
          <cell r="C73">
            <v>719116</v>
          </cell>
        </row>
        <row r="74">
          <cell r="B74" t="str">
            <v>GREEN PARK</v>
          </cell>
          <cell r="C74">
            <v>1014426.1999999998</v>
          </cell>
        </row>
        <row r="75">
          <cell r="B75" t="str">
            <v>CFC</v>
          </cell>
          <cell r="C75">
            <v>4787408.1699999981</v>
          </cell>
        </row>
        <row r="76">
          <cell r="B76" t="str">
            <v>AUC</v>
          </cell>
          <cell r="C76">
            <v>2582310.02</v>
          </cell>
        </row>
        <row r="77">
          <cell r="B77" t="str">
            <v>Shinzo2</v>
          </cell>
          <cell r="C77">
            <v>849020.56</v>
          </cell>
        </row>
        <row r="78">
          <cell r="B78" t="str">
            <v>Shinzo1</v>
          </cell>
          <cell r="C78">
            <v>1279606.02</v>
          </cell>
        </row>
        <row r="79">
          <cell r="B79" t="str">
            <v>Police_Academy</v>
          </cell>
          <cell r="C79">
            <v>850146.12000000011</v>
          </cell>
        </row>
        <row r="80">
          <cell r="B80" t="str">
            <v>Tanta</v>
          </cell>
          <cell r="C80">
            <v>1232293</v>
          </cell>
        </row>
        <row r="81">
          <cell r="B81" t="str">
            <v>Assiut</v>
          </cell>
          <cell r="C81">
            <v>633500</v>
          </cell>
        </row>
        <row r="82">
          <cell r="B82" t="str">
            <v>Elnahas2</v>
          </cell>
          <cell r="C82">
            <v>720532.10000000009</v>
          </cell>
        </row>
        <row r="83">
          <cell r="B83" t="str">
            <v>NewDamietta</v>
          </cell>
          <cell r="C83">
            <v>2536466.5</v>
          </cell>
        </row>
        <row r="84">
          <cell r="B84" t="str">
            <v>ElObour1</v>
          </cell>
          <cell r="C84">
            <v>1982625.5500000005</v>
          </cell>
        </row>
        <row r="85">
          <cell r="B85" t="str">
            <v>AL-REHAB</v>
          </cell>
          <cell r="C85">
            <v>5104474.1499999985</v>
          </cell>
        </row>
        <row r="86">
          <cell r="B86" t="str">
            <v>AlShorouk</v>
          </cell>
          <cell r="C86">
            <v>1780616.6800000004</v>
          </cell>
        </row>
        <row r="87">
          <cell r="B87" t="str">
            <v>Jehan</v>
          </cell>
          <cell r="C87">
            <v>1423109.08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Elsanhoury2</v>
          </cell>
          <cell r="C2">
            <v>446092.74000000005</v>
          </cell>
        </row>
        <row r="3">
          <cell r="B3" t="str">
            <v>AlAhly1</v>
          </cell>
          <cell r="C3">
            <v>687728.86000000034</v>
          </cell>
        </row>
        <row r="4">
          <cell r="B4" t="str">
            <v>Elsanhoury1</v>
          </cell>
          <cell r="C4">
            <v>562964.26000000024</v>
          </cell>
        </row>
        <row r="5">
          <cell r="B5" t="str">
            <v>Roxy</v>
          </cell>
          <cell r="C5">
            <v>1132599.040000001</v>
          </cell>
        </row>
        <row r="6">
          <cell r="B6" t="str">
            <v>Bue</v>
          </cell>
          <cell r="C6">
            <v>179646</v>
          </cell>
        </row>
        <row r="7">
          <cell r="B7" t="str">
            <v>Bluepark</v>
          </cell>
          <cell r="C7">
            <v>395714</v>
          </cell>
        </row>
        <row r="8">
          <cell r="B8" t="str">
            <v>AIRPORT</v>
          </cell>
          <cell r="C8">
            <v>1840743</v>
          </cell>
        </row>
        <row r="9">
          <cell r="B9" t="str">
            <v>Dolphin</v>
          </cell>
          <cell r="C9">
            <v>1859361.5000000005</v>
          </cell>
        </row>
        <row r="10">
          <cell r="B10" t="str">
            <v>Sadat</v>
          </cell>
          <cell r="C10">
            <v>3810981.7099999879</v>
          </cell>
        </row>
        <row r="11">
          <cell r="B11" t="str">
            <v>TenthOfRamadan</v>
          </cell>
          <cell r="C11">
            <v>987557</v>
          </cell>
        </row>
        <row r="12">
          <cell r="B12" t="str">
            <v>Pgardens</v>
          </cell>
          <cell r="C12">
            <v>4518449.9099999666</v>
          </cell>
        </row>
        <row r="13">
          <cell r="B13" t="str">
            <v>Uptown</v>
          </cell>
          <cell r="C13">
            <v>78228</v>
          </cell>
        </row>
        <row r="14">
          <cell r="B14" t="str">
            <v>MADINTY3</v>
          </cell>
          <cell r="C14">
            <v>748455.03</v>
          </cell>
        </row>
        <row r="15">
          <cell r="B15" t="str">
            <v>CITYSCAPE</v>
          </cell>
          <cell r="C15">
            <v>486319</v>
          </cell>
        </row>
        <row r="16">
          <cell r="B16" t="str">
            <v>AL-SHAHID2</v>
          </cell>
          <cell r="C16">
            <v>1916878.2500000002</v>
          </cell>
        </row>
        <row r="17">
          <cell r="B17" t="str">
            <v>Dokki</v>
          </cell>
          <cell r="C17">
            <v>999003.80000000051</v>
          </cell>
        </row>
        <row r="18">
          <cell r="B18" t="str">
            <v>MoharamBek</v>
          </cell>
          <cell r="C18">
            <v>3470171.11</v>
          </cell>
        </row>
        <row r="19">
          <cell r="B19" t="str">
            <v>MADINTY1</v>
          </cell>
          <cell r="C19">
            <v>1699370.06</v>
          </cell>
        </row>
        <row r="20">
          <cell r="B20" t="str">
            <v>Kafr El-Shaikh 2</v>
          </cell>
          <cell r="C20">
            <v>1010183</v>
          </cell>
        </row>
        <row r="21">
          <cell r="B21" t="str">
            <v>Alex_Gate</v>
          </cell>
          <cell r="C21">
            <v>1979423.95</v>
          </cell>
        </row>
        <row r="22">
          <cell r="B22" t="str">
            <v>MERGHANY</v>
          </cell>
          <cell r="C22">
            <v>229692</v>
          </cell>
        </row>
        <row r="23">
          <cell r="B23" t="str">
            <v>ELMAX</v>
          </cell>
          <cell r="C23">
            <v>517220.28000000014</v>
          </cell>
        </row>
        <row r="24">
          <cell r="B24" t="str">
            <v>Madinaty_Strip</v>
          </cell>
          <cell r="C24">
            <v>438417.33</v>
          </cell>
        </row>
        <row r="25">
          <cell r="B25" t="str">
            <v>K23</v>
          </cell>
          <cell r="C25">
            <v>608642.46</v>
          </cell>
        </row>
        <row r="26">
          <cell r="B26" t="str">
            <v>Chillout_Sharm</v>
          </cell>
          <cell r="C26">
            <v>986508.17000000179</v>
          </cell>
        </row>
        <row r="27">
          <cell r="B27" t="str">
            <v>AlAmein3</v>
          </cell>
          <cell r="C27">
            <v>2003095.5</v>
          </cell>
        </row>
        <row r="28">
          <cell r="B28" t="str">
            <v>AlWaha_City</v>
          </cell>
          <cell r="C28">
            <v>32015</v>
          </cell>
        </row>
        <row r="29">
          <cell r="B29" t="str">
            <v>Assuit2</v>
          </cell>
          <cell r="C29">
            <v>621681</v>
          </cell>
        </row>
        <row r="30">
          <cell r="B30" t="str">
            <v>Adeer</v>
          </cell>
          <cell r="C30">
            <v>490729.17000000016</v>
          </cell>
        </row>
        <row r="31">
          <cell r="B31" t="str">
            <v>Zamalek_MP</v>
          </cell>
          <cell r="C31">
            <v>1119419.96</v>
          </cell>
        </row>
        <row r="32">
          <cell r="B32" t="str">
            <v>Gesr</v>
          </cell>
          <cell r="C32">
            <v>1157647.2900000019</v>
          </cell>
        </row>
        <row r="33">
          <cell r="B33" t="str">
            <v>AL-SHAHID1</v>
          </cell>
          <cell r="C33">
            <v>3605582.4599999767</v>
          </cell>
        </row>
        <row r="34">
          <cell r="B34" t="str">
            <v>Sheraton_Stirp</v>
          </cell>
          <cell r="C34">
            <v>601508.68000000098</v>
          </cell>
        </row>
        <row r="35">
          <cell r="B35" t="str">
            <v>SuperJet</v>
          </cell>
          <cell r="C35">
            <v>1129874</v>
          </cell>
        </row>
        <row r="36">
          <cell r="B36" t="str">
            <v>K27</v>
          </cell>
          <cell r="C36">
            <v>752555.64000000048</v>
          </cell>
        </row>
        <row r="37">
          <cell r="B37" t="str">
            <v>MADINTY2</v>
          </cell>
          <cell r="C37">
            <v>689296</v>
          </cell>
        </row>
        <row r="38">
          <cell r="B38" t="str">
            <v>Chillout_ElHorya</v>
          </cell>
          <cell r="C38">
            <v>2217244.12</v>
          </cell>
        </row>
        <row r="39">
          <cell r="B39" t="str">
            <v>K38</v>
          </cell>
          <cell r="C39">
            <v>1650303.35</v>
          </cell>
        </row>
        <row r="40">
          <cell r="B40" t="str">
            <v>TRUMPH</v>
          </cell>
          <cell r="C40">
            <v>5880450</v>
          </cell>
        </row>
        <row r="41">
          <cell r="B41" t="str">
            <v>NOBARIA</v>
          </cell>
          <cell r="C41">
            <v>3387282.8199999915</v>
          </cell>
        </row>
        <row r="42">
          <cell r="B42" t="str">
            <v>Shinzo3</v>
          </cell>
          <cell r="C42">
            <v>455333.58000000031</v>
          </cell>
        </row>
        <row r="43">
          <cell r="B43" t="str">
            <v>Midor</v>
          </cell>
          <cell r="C43">
            <v>6682623.1299999505</v>
          </cell>
        </row>
        <row r="44">
          <cell r="B44" t="str">
            <v>Alahly2</v>
          </cell>
          <cell r="C44">
            <v>810326.5</v>
          </cell>
        </row>
        <row r="45">
          <cell r="B45" t="str">
            <v>Chillout_Tayaran</v>
          </cell>
          <cell r="C45">
            <v>904814.43000000017</v>
          </cell>
        </row>
        <row r="46">
          <cell r="B46" t="str">
            <v>Josip</v>
          </cell>
          <cell r="C46">
            <v>1176256.2200000002</v>
          </cell>
        </row>
        <row r="47">
          <cell r="B47" t="str">
            <v>CHILLOUT2</v>
          </cell>
          <cell r="C47">
            <v>4018850.2799999942</v>
          </cell>
        </row>
        <row r="48">
          <cell r="B48" t="str">
            <v>Heliopolis</v>
          </cell>
          <cell r="C48">
            <v>652404.13000000024</v>
          </cell>
        </row>
        <row r="49">
          <cell r="B49" t="str">
            <v>Kersh</v>
          </cell>
          <cell r="C49">
            <v>1511428</v>
          </cell>
        </row>
        <row r="50">
          <cell r="B50" t="str">
            <v>ElGabakhana</v>
          </cell>
          <cell r="C50">
            <v>2488154.229999993</v>
          </cell>
        </row>
        <row r="51">
          <cell r="B51" t="str">
            <v>Nakheel</v>
          </cell>
          <cell r="C51">
            <v>3548709.4699999937</v>
          </cell>
        </row>
        <row r="52">
          <cell r="B52" t="str">
            <v>Mivida2</v>
          </cell>
          <cell r="C52">
            <v>1082330</v>
          </cell>
        </row>
        <row r="53">
          <cell r="B53" t="str">
            <v>K21</v>
          </cell>
          <cell r="C53">
            <v>1883564.3</v>
          </cell>
        </row>
        <row r="54">
          <cell r="B54" t="str">
            <v>G7</v>
          </cell>
          <cell r="C54">
            <v>1196043</v>
          </cell>
        </row>
        <row r="55">
          <cell r="B55" t="str">
            <v>Elshams</v>
          </cell>
          <cell r="C55">
            <v>808273.70000000007</v>
          </cell>
        </row>
        <row r="56">
          <cell r="B56" t="str">
            <v>Damietta2</v>
          </cell>
          <cell r="C56">
            <v>2069163.5</v>
          </cell>
        </row>
        <row r="57">
          <cell r="B57" t="str">
            <v>UH</v>
          </cell>
          <cell r="C57">
            <v>205791</v>
          </cell>
        </row>
        <row r="58">
          <cell r="B58" t="str">
            <v>NewCapital</v>
          </cell>
          <cell r="C58">
            <v>1257733.06</v>
          </cell>
        </row>
        <row r="59">
          <cell r="B59" t="str">
            <v>WAHA2</v>
          </cell>
          <cell r="C59">
            <v>1924296</v>
          </cell>
        </row>
        <row r="60">
          <cell r="B60" t="str">
            <v>Shazly</v>
          </cell>
          <cell r="C60">
            <v>2413752.2799999998</v>
          </cell>
        </row>
        <row r="61">
          <cell r="B61" t="str">
            <v>Sheraton</v>
          </cell>
          <cell r="C61">
            <v>1624264.2500000026</v>
          </cell>
        </row>
        <row r="62">
          <cell r="B62" t="str">
            <v>Hegaz</v>
          </cell>
          <cell r="C62">
            <v>1429231</v>
          </cell>
        </row>
        <row r="63">
          <cell r="B63" t="str">
            <v>Ismailia_Gate2</v>
          </cell>
          <cell r="C63">
            <v>2632475.6199999833</v>
          </cell>
        </row>
        <row r="64">
          <cell r="B64" t="str">
            <v>Kafrawy</v>
          </cell>
          <cell r="C64">
            <v>1095487.3500000006</v>
          </cell>
        </row>
        <row r="65">
          <cell r="B65" t="str">
            <v>TahiaMisr2</v>
          </cell>
          <cell r="C65">
            <v>1910133.350000001</v>
          </cell>
        </row>
        <row r="66">
          <cell r="B66" t="str">
            <v>M3Morah</v>
          </cell>
          <cell r="C66">
            <v>552572.41000000155</v>
          </cell>
        </row>
        <row r="67">
          <cell r="B67" t="str">
            <v>Dunes</v>
          </cell>
          <cell r="C67">
            <v>2392384.2699999972</v>
          </cell>
        </row>
        <row r="68">
          <cell r="B68" t="str">
            <v>Kafrawy2</v>
          </cell>
          <cell r="C68">
            <v>1697742.8500000008</v>
          </cell>
        </row>
        <row r="69">
          <cell r="B69" t="str">
            <v>ISMAILIA_GATE</v>
          </cell>
          <cell r="C69">
            <v>2113557.2700000005</v>
          </cell>
        </row>
        <row r="70">
          <cell r="B70" t="str">
            <v>Smart</v>
          </cell>
          <cell r="C70">
            <v>1089660.29</v>
          </cell>
        </row>
        <row r="71">
          <cell r="B71" t="str">
            <v>Sheraton walk</v>
          </cell>
          <cell r="C71">
            <v>1207585.5000000002</v>
          </cell>
        </row>
        <row r="72">
          <cell r="B72" t="str">
            <v>Sodic_WMC</v>
          </cell>
          <cell r="C72">
            <v>1678031.7400000007</v>
          </cell>
        </row>
        <row r="73">
          <cell r="B73" t="str">
            <v>Maadi Mobil</v>
          </cell>
          <cell r="C73">
            <v>3164363.8699999908</v>
          </cell>
        </row>
        <row r="74">
          <cell r="B74" t="str">
            <v>Batrawi1</v>
          </cell>
          <cell r="C74">
            <v>664755.34000000125</v>
          </cell>
        </row>
        <row r="75">
          <cell r="B75" t="str">
            <v>Batrawi2</v>
          </cell>
          <cell r="C75">
            <v>779790</v>
          </cell>
        </row>
        <row r="76">
          <cell r="B76" t="str">
            <v>GREEN PARK</v>
          </cell>
          <cell r="C76">
            <v>1202320.4600000002</v>
          </cell>
        </row>
        <row r="77">
          <cell r="B77" t="str">
            <v>CFC</v>
          </cell>
          <cell r="C77">
            <v>5485897.2599999681</v>
          </cell>
        </row>
        <row r="78">
          <cell r="B78" t="str">
            <v>AUC</v>
          </cell>
          <cell r="C78">
            <v>3034206.01</v>
          </cell>
        </row>
        <row r="79">
          <cell r="B79" t="str">
            <v>Shinzo2</v>
          </cell>
          <cell r="C79">
            <v>1069102.330000001</v>
          </cell>
        </row>
        <row r="80">
          <cell r="B80" t="str">
            <v>Shinzo1</v>
          </cell>
          <cell r="C80">
            <v>1551201.9000000004</v>
          </cell>
        </row>
        <row r="81">
          <cell r="B81" t="str">
            <v>Police_Academy</v>
          </cell>
          <cell r="C81">
            <v>932362.06</v>
          </cell>
        </row>
        <row r="82">
          <cell r="B82" t="str">
            <v>Tanta</v>
          </cell>
          <cell r="C82">
            <v>1075276.7400000002</v>
          </cell>
        </row>
        <row r="83">
          <cell r="B83" t="str">
            <v>Assiut</v>
          </cell>
          <cell r="C83">
            <v>666526.96</v>
          </cell>
        </row>
        <row r="84">
          <cell r="B84" t="str">
            <v>Elnahas2</v>
          </cell>
          <cell r="C84">
            <v>915982.1100000008</v>
          </cell>
        </row>
        <row r="85">
          <cell r="B85" t="str">
            <v>NewDamietta</v>
          </cell>
          <cell r="C85">
            <v>2948508.4699999895</v>
          </cell>
        </row>
        <row r="86">
          <cell r="B86" t="str">
            <v>ElObour1</v>
          </cell>
          <cell r="C86">
            <v>2345285.9899999979</v>
          </cell>
        </row>
        <row r="87">
          <cell r="B87" t="str">
            <v>AL-REHAB</v>
          </cell>
          <cell r="C87">
            <v>5599593.7099999851</v>
          </cell>
        </row>
        <row r="88">
          <cell r="B88" t="str">
            <v>AlShorouk</v>
          </cell>
          <cell r="C88">
            <v>2125574.6800000006</v>
          </cell>
        </row>
        <row r="89">
          <cell r="B89" t="str">
            <v>Jehan</v>
          </cell>
          <cell r="C89">
            <v>1726928.060000001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Adeer</v>
          </cell>
          <cell r="C2">
            <v>546865.06000000006</v>
          </cell>
        </row>
        <row r="3">
          <cell r="B3" t="str">
            <v>AIRPORT</v>
          </cell>
          <cell r="C3">
            <v>1706110.33</v>
          </cell>
        </row>
        <row r="4">
          <cell r="B4" t="str">
            <v>AlAhly1</v>
          </cell>
          <cell r="C4">
            <v>713116.44000000064</v>
          </cell>
        </row>
        <row r="5">
          <cell r="B5" t="str">
            <v>Alahly2</v>
          </cell>
          <cell r="C5">
            <v>652362.4</v>
          </cell>
        </row>
        <row r="6">
          <cell r="B6" t="str">
            <v>AlAmein3</v>
          </cell>
          <cell r="C6">
            <v>4075231.14</v>
          </cell>
        </row>
        <row r="7">
          <cell r="B7" t="str">
            <v>AlAmein4</v>
          </cell>
          <cell r="C7">
            <v>654160.52000000014</v>
          </cell>
        </row>
        <row r="8">
          <cell r="B8" t="str">
            <v>Alex_Gate</v>
          </cell>
          <cell r="C8">
            <v>2473070</v>
          </cell>
        </row>
        <row r="9">
          <cell r="B9" t="str">
            <v>AL-REHAB</v>
          </cell>
          <cell r="C9">
            <v>5710514.1399999363</v>
          </cell>
        </row>
        <row r="10">
          <cell r="B10" t="str">
            <v>AL-SHAHID1</v>
          </cell>
          <cell r="C10">
            <v>3610228.0399999735</v>
          </cell>
        </row>
        <row r="11">
          <cell r="B11" t="str">
            <v>AL-SHAHID2</v>
          </cell>
          <cell r="C11">
            <v>1636756.2600000019</v>
          </cell>
        </row>
        <row r="12">
          <cell r="B12" t="str">
            <v>AlShorouk</v>
          </cell>
          <cell r="C12">
            <v>1987061.9700000009</v>
          </cell>
        </row>
        <row r="13">
          <cell r="B13" t="str">
            <v>AlWaha_City</v>
          </cell>
          <cell r="C13">
            <v>826303</v>
          </cell>
        </row>
        <row r="14">
          <cell r="B14" t="str">
            <v>Assiut</v>
          </cell>
          <cell r="C14">
            <v>679091</v>
          </cell>
        </row>
        <row r="15">
          <cell r="B15" t="str">
            <v>Assuit2</v>
          </cell>
          <cell r="C15">
            <v>727336</v>
          </cell>
        </row>
        <row r="16">
          <cell r="B16" t="str">
            <v>AUC</v>
          </cell>
          <cell r="C16">
            <v>2645045</v>
          </cell>
        </row>
        <row r="17">
          <cell r="B17" t="str">
            <v>Batrawi1</v>
          </cell>
          <cell r="C17">
            <v>630068.50000000326</v>
          </cell>
        </row>
        <row r="18">
          <cell r="B18" t="str">
            <v>Batrawi2</v>
          </cell>
          <cell r="C18">
            <v>754220</v>
          </cell>
        </row>
        <row r="19">
          <cell r="B19" t="str">
            <v>Bluepark</v>
          </cell>
          <cell r="C19">
            <v>426427</v>
          </cell>
        </row>
        <row r="20">
          <cell r="B20" t="str">
            <v>Bue</v>
          </cell>
          <cell r="C20">
            <v>37184</v>
          </cell>
        </row>
        <row r="21">
          <cell r="B21" t="str">
            <v>CFC</v>
          </cell>
          <cell r="C21">
            <v>5127082.089999998</v>
          </cell>
        </row>
        <row r="22">
          <cell r="B22" t="str">
            <v>ChampsElysees</v>
          </cell>
          <cell r="C22">
            <v>40</v>
          </cell>
        </row>
        <row r="23">
          <cell r="B23" t="str">
            <v>Chillout_ElHorya</v>
          </cell>
          <cell r="C23">
            <v>2223387</v>
          </cell>
        </row>
        <row r="24">
          <cell r="B24" t="str">
            <v>Chillout_Sharm</v>
          </cell>
          <cell r="C24">
            <v>1030567.6000000027</v>
          </cell>
        </row>
        <row r="25">
          <cell r="B25" t="str">
            <v>Chillout_Tayaran</v>
          </cell>
          <cell r="C25">
            <v>967855.92000000237</v>
          </cell>
        </row>
        <row r="26">
          <cell r="B26" t="str">
            <v>CHILLOUT2</v>
          </cell>
          <cell r="C26">
            <v>4457650.0099999923</v>
          </cell>
        </row>
        <row r="27">
          <cell r="B27" t="str">
            <v>CITYSCAPE</v>
          </cell>
          <cell r="C27">
            <v>412271</v>
          </cell>
        </row>
        <row r="28">
          <cell r="B28" t="str">
            <v>Damietta2</v>
          </cell>
          <cell r="C28">
            <v>1949954.75</v>
          </cell>
        </row>
        <row r="29">
          <cell r="B29" t="str">
            <v>Dokki</v>
          </cell>
          <cell r="C29">
            <v>1198943.5100000007</v>
          </cell>
        </row>
        <row r="30">
          <cell r="B30" t="str">
            <v>Dolphin</v>
          </cell>
          <cell r="C30">
            <v>1652645.0700000024</v>
          </cell>
        </row>
        <row r="31">
          <cell r="B31" t="str">
            <v>Dunes</v>
          </cell>
          <cell r="C31">
            <v>2008699.760000004</v>
          </cell>
        </row>
        <row r="32">
          <cell r="B32" t="str">
            <v>ElGabakhana</v>
          </cell>
          <cell r="C32">
            <v>2364366.5100000035</v>
          </cell>
        </row>
        <row r="33">
          <cell r="B33" t="str">
            <v>ELMAX</v>
          </cell>
          <cell r="C33">
            <v>576147.0000000014</v>
          </cell>
        </row>
        <row r="34">
          <cell r="B34" t="str">
            <v>Elnahas2</v>
          </cell>
          <cell r="C34">
            <v>924109.64000000106</v>
          </cell>
        </row>
        <row r="35">
          <cell r="B35" t="str">
            <v>ElObour1</v>
          </cell>
          <cell r="C35">
            <v>2385112.5300000007</v>
          </cell>
        </row>
        <row r="36">
          <cell r="B36" t="str">
            <v>Elsanhoury1</v>
          </cell>
          <cell r="C36">
            <v>536809.40000000084</v>
          </cell>
        </row>
        <row r="37">
          <cell r="B37" t="str">
            <v>Elsanhoury2</v>
          </cell>
          <cell r="C37">
            <v>417422.40000000008</v>
          </cell>
        </row>
        <row r="38">
          <cell r="B38" t="str">
            <v>Elshams</v>
          </cell>
          <cell r="C38">
            <v>701858.7900000005</v>
          </cell>
        </row>
        <row r="39">
          <cell r="B39" t="str">
            <v>G7</v>
          </cell>
          <cell r="C39">
            <v>1035260.2000000011</v>
          </cell>
        </row>
        <row r="40">
          <cell r="B40" t="str">
            <v>Gesr</v>
          </cell>
          <cell r="C40">
            <v>1091854.9000000001</v>
          </cell>
        </row>
        <row r="41">
          <cell r="B41" t="str">
            <v>GREEN PARK</v>
          </cell>
          <cell r="C41">
            <v>1128392.9100000018</v>
          </cell>
        </row>
        <row r="42">
          <cell r="B42" t="str">
            <v>Hegaz</v>
          </cell>
          <cell r="C42">
            <v>1668803</v>
          </cell>
        </row>
        <row r="43">
          <cell r="B43" t="str">
            <v>Heliopolis</v>
          </cell>
          <cell r="C43">
            <v>591513.5700000003</v>
          </cell>
        </row>
        <row r="44">
          <cell r="B44" t="str">
            <v>ISMAILIA_GATE</v>
          </cell>
          <cell r="C44">
            <v>2067003</v>
          </cell>
        </row>
        <row r="45">
          <cell r="B45" t="str">
            <v>Ismailia_Gate2</v>
          </cell>
          <cell r="C45">
            <v>3742073.3199999984</v>
          </cell>
        </row>
        <row r="46">
          <cell r="B46" t="str">
            <v>Jehan</v>
          </cell>
          <cell r="C46">
            <v>1695597.460000003</v>
          </cell>
        </row>
        <row r="47">
          <cell r="B47" t="str">
            <v>Josip</v>
          </cell>
          <cell r="C47">
            <v>1154817.81</v>
          </cell>
        </row>
        <row r="48">
          <cell r="B48" t="str">
            <v>K21</v>
          </cell>
          <cell r="C48">
            <v>2287194.56</v>
          </cell>
        </row>
        <row r="49">
          <cell r="B49" t="str">
            <v>K23</v>
          </cell>
          <cell r="C49">
            <v>646271.94999999995</v>
          </cell>
        </row>
        <row r="50">
          <cell r="B50" t="str">
            <v>K27</v>
          </cell>
          <cell r="C50">
            <v>773473.35000000359</v>
          </cell>
        </row>
        <row r="51">
          <cell r="B51" t="str">
            <v>K38</v>
          </cell>
          <cell r="C51">
            <v>2010329.4300000011</v>
          </cell>
        </row>
        <row r="52">
          <cell r="B52" t="str">
            <v>Kafr El-Shaikh 2</v>
          </cell>
          <cell r="C52">
            <v>1156128</v>
          </cell>
        </row>
        <row r="53">
          <cell r="B53" t="str">
            <v>Kafrawy</v>
          </cell>
          <cell r="C53">
            <v>1009346.400000004</v>
          </cell>
        </row>
        <row r="54">
          <cell r="B54" t="str">
            <v>Kafrawy2</v>
          </cell>
          <cell r="C54">
            <v>1434183.9500000014</v>
          </cell>
        </row>
        <row r="55">
          <cell r="B55" t="str">
            <v>Kersh</v>
          </cell>
          <cell r="C55">
            <v>1700232</v>
          </cell>
        </row>
        <row r="56">
          <cell r="B56" t="str">
            <v>M3Morah</v>
          </cell>
          <cell r="C56">
            <v>559783.15000000119</v>
          </cell>
        </row>
        <row r="57">
          <cell r="B57" t="str">
            <v>Maadi Mobil</v>
          </cell>
          <cell r="C57">
            <v>3255713.9499999881</v>
          </cell>
        </row>
        <row r="58">
          <cell r="B58" t="str">
            <v>Madinaty_Strip</v>
          </cell>
          <cell r="C58">
            <v>489709.52000000019</v>
          </cell>
        </row>
        <row r="59">
          <cell r="B59" t="str">
            <v>MADINTY1</v>
          </cell>
          <cell r="C59">
            <v>1754309.4700000004</v>
          </cell>
        </row>
        <row r="60">
          <cell r="B60" t="str">
            <v>MADINTY2</v>
          </cell>
          <cell r="C60">
            <v>657475</v>
          </cell>
        </row>
        <row r="61">
          <cell r="B61" t="str">
            <v>MADINTY3</v>
          </cell>
          <cell r="C61">
            <v>764725</v>
          </cell>
        </row>
        <row r="62">
          <cell r="B62" t="str">
            <v>Marina_Walk</v>
          </cell>
          <cell r="C62">
            <v>404804</v>
          </cell>
        </row>
        <row r="63">
          <cell r="B63" t="str">
            <v>MarseiliaBeach4</v>
          </cell>
          <cell r="C63">
            <v>1186445.7500000026</v>
          </cell>
        </row>
        <row r="64">
          <cell r="B64" t="str">
            <v>MERGHANY</v>
          </cell>
          <cell r="C64">
            <v>236926.22000000009</v>
          </cell>
        </row>
        <row r="65">
          <cell r="B65" t="str">
            <v>Midor</v>
          </cell>
          <cell r="C65">
            <v>6501297.249999946</v>
          </cell>
        </row>
        <row r="66">
          <cell r="B66" t="str">
            <v>Mivida2</v>
          </cell>
          <cell r="C66">
            <v>1113045</v>
          </cell>
        </row>
        <row r="67">
          <cell r="B67" t="str">
            <v>MoharamBek</v>
          </cell>
          <cell r="C67">
            <v>4088567.87</v>
          </cell>
        </row>
        <row r="68">
          <cell r="B68" t="str">
            <v>Nakheel</v>
          </cell>
          <cell r="C68">
            <v>3591745.8299999828</v>
          </cell>
        </row>
        <row r="69">
          <cell r="B69" t="str">
            <v>NewCapital</v>
          </cell>
          <cell r="C69">
            <v>870388.98000000138</v>
          </cell>
        </row>
        <row r="70">
          <cell r="B70" t="str">
            <v>NewDamietta</v>
          </cell>
          <cell r="C70">
            <v>3021862.3599999794</v>
          </cell>
        </row>
        <row r="71">
          <cell r="B71" t="str">
            <v>NOBARIA</v>
          </cell>
          <cell r="C71">
            <v>3972440.2199999089</v>
          </cell>
        </row>
        <row r="72">
          <cell r="B72" t="str">
            <v>Pgardens</v>
          </cell>
          <cell r="C72">
            <v>4780540.4199999403</v>
          </cell>
        </row>
        <row r="73">
          <cell r="B73" t="str">
            <v>Police_Academy</v>
          </cell>
          <cell r="C73">
            <v>896118</v>
          </cell>
        </row>
        <row r="74">
          <cell r="B74" t="str">
            <v>Roxy</v>
          </cell>
          <cell r="C74">
            <v>1244959.3600000006</v>
          </cell>
        </row>
        <row r="75">
          <cell r="B75" t="str">
            <v>Sadat</v>
          </cell>
          <cell r="C75">
            <v>3797412.0299999821</v>
          </cell>
        </row>
        <row r="76">
          <cell r="B76" t="str">
            <v>Shazly</v>
          </cell>
          <cell r="C76">
            <v>2404494.46</v>
          </cell>
        </row>
        <row r="77">
          <cell r="B77" t="str">
            <v>Sheraton</v>
          </cell>
          <cell r="C77">
            <v>1665692.04</v>
          </cell>
        </row>
        <row r="78">
          <cell r="B78" t="str">
            <v>Sheraton walk</v>
          </cell>
          <cell r="C78">
            <v>1326489.0900000017</v>
          </cell>
        </row>
        <row r="79">
          <cell r="B79" t="str">
            <v>Sheraton_Stirp</v>
          </cell>
          <cell r="C79">
            <v>564520.72000000114</v>
          </cell>
        </row>
        <row r="80">
          <cell r="B80" t="str">
            <v>Shinzo1</v>
          </cell>
          <cell r="C80">
            <v>2000946.9500000007</v>
          </cell>
        </row>
        <row r="81">
          <cell r="B81" t="str">
            <v>Shinzo2</v>
          </cell>
          <cell r="C81">
            <v>960245.00000000151</v>
          </cell>
        </row>
        <row r="82">
          <cell r="B82" t="str">
            <v>Shinzo3</v>
          </cell>
          <cell r="C82">
            <v>503930.71000000043</v>
          </cell>
        </row>
        <row r="83">
          <cell r="B83" t="str">
            <v>Smart</v>
          </cell>
          <cell r="C83">
            <v>1023850.250000001</v>
          </cell>
        </row>
        <row r="84">
          <cell r="B84" t="str">
            <v>Sodic_WMC</v>
          </cell>
          <cell r="C84">
            <v>1658611.1000000031</v>
          </cell>
        </row>
        <row r="85">
          <cell r="B85" t="str">
            <v>SuperJet</v>
          </cell>
          <cell r="C85">
            <v>1052874</v>
          </cell>
        </row>
        <row r="86">
          <cell r="B86" t="str">
            <v>TahiaMisr2</v>
          </cell>
          <cell r="C86">
            <v>2201515.2500000023</v>
          </cell>
        </row>
        <row r="87">
          <cell r="B87" t="str">
            <v>Tanta</v>
          </cell>
          <cell r="C87">
            <v>1424653.7500000009</v>
          </cell>
        </row>
        <row r="88">
          <cell r="B88" t="str">
            <v>TenthOfRamadan</v>
          </cell>
          <cell r="C88">
            <v>842625</v>
          </cell>
        </row>
        <row r="89">
          <cell r="B89" t="str">
            <v>TRUMPH</v>
          </cell>
          <cell r="C89">
            <v>5852935</v>
          </cell>
        </row>
        <row r="90">
          <cell r="B90" t="str">
            <v>UH</v>
          </cell>
          <cell r="C90">
            <v>149947</v>
          </cell>
        </row>
        <row r="91">
          <cell r="B91" t="str">
            <v>Uptown</v>
          </cell>
          <cell r="C91">
            <v>846010</v>
          </cell>
        </row>
        <row r="92">
          <cell r="B92" t="str">
            <v>WAHA2</v>
          </cell>
          <cell r="C92">
            <v>2867317.8899999978</v>
          </cell>
        </row>
        <row r="93">
          <cell r="B93" t="str">
            <v>Zamalek_MP</v>
          </cell>
          <cell r="C93">
            <v>1114752.8400000015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  <sheetName val="Sheet1"/>
    </sheetNames>
    <sheetDataSet>
      <sheetData sheetId="0">
        <row r="2">
          <cell r="B2" t="str">
            <v>Elsanhoury2</v>
          </cell>
          <cell r="C2">
            <v>393452.52</v>
          </cell>
        </row>
        <row r="3">
          <cell r="B3" t="str">
            <v>AlAhly1</v>
          </cell>
          <cell r="C3">
            <v>760012</v>
          </cell>
        </row>
        <row r="4">
          <cell r="B4" t="str">
            <v>Elsanhoury1</v>
          </cell>
          <cell r="C4">
            <v>611334.64000000025</v>
          </cell>
        </row>
        <row r="5">
          <cell r="B5" t="str">
            <v>Roxy</v>
          </cell>
          <cell r="C5">
            <v>1220896.9300000009</v>
          </cell>
        </row>
        <row r="6">
          <cell r="B6" t="str">
            <v>Bue</v>
          </cell>
          <cell r="C6">
            <v>41231</v>
          </cell>
        </row>
        <row r="7">
          <cell r="B7" t="str">
            <v xml:space="preserve">Elle_Marina5_x000D_
</v>
          </cell>
          <cell r="C7">
            <v>117346</v>
          </cell>
        </row>
        <row r="8">
          <cell r="B8" t="str">
            <v>Bluepark</v>
          </cell>
          <cell r="C8">
            <v>444493.01</v>
          </cell>
        </row>
        <row r="9">
          <cell r="B9" t="str">
            <v>AIRPORT</v>
          </cell>
          <cell r="C9">
            <v>1797603.67</v>
          </cell>
        </row>
        <row r="10">
          <cell r="B10" t="str">
            <v>Dolphin</v>
          </cell>
          <cell r="C10">
            <v>1792490.7200000002</v>
          </cell>
        </row>
        <row r="11">
          <cell r="B11" t="str">
            <v>Sadat</v>
          </cell>
          <cell r="C11">
            <v>3835863.2899999963</v>
          </cell>
        </row>
        <row r="12">
          <cell r="B12" t="str">
            <v>TenthOfRamadan</v>
          </cell>
          <cell r="C12">
            <v>968392</v>
          </cell>
        </row>
        <row r="13">
          <cell r="B13" t="str">
            <v>Pgardens</v>
          </cell>
          <cell r="C13">
            <v>4997254.0699999984</v>
          </cell>
        </row>
        <row r="14">
          <cell r="B14" t="str">
            <v>MarseiliaBeach4</v>
          </cell>
          <cell r="C14">
            <v>1524315.25</v>
          </cell>
        </row>
        <row r="15">
          <cell r="B15" t="str">
            <v>Uptown</v>
          </cell>
          <cell r="C15">
            <v>893702.5</v>
          </cell>
        </row>
        <row r="16">
          <cell r="B16" t="str">
            <v>MADINTY3</v>
          </cell>
          <cell r="C16">
            <v>824555</v>
          </cell>
        </row>
        <row r="17">
          <cell r="B17" t="str">
            <v>CITYSCAPE</v>
          </cell>
          <cell r="C17">
            <v>467742</v>
          </cell>
        </row>
        <row r="18">
          <cell r="B18" t="str">
            <v>AL-SHAHID2</v>
          </cell>
          <cell r="C18">
            <v>1884518.0000000016</v>
          </cell>
        </row>
        <row r="19">
          <cell r="B19" t="str">
            <v>Dokki</v>
          </cell>
          <cell r="C19">
            <v>1292651.1300000011</v>
          </cell>
        </row>
        <row r="20">
          <cell r="B20" t="str">
            <v>MoharamBek</v>
          </cell>
          <cell r="C20">
            <v>5182397.51</v>
          </cell>
        </row>
        <row r="21">
          <cell r="B21" t="str">
            <v>MADINTY1</v>
          </cell>
          <cell r="C21">
            <v>1689783</v>
          </cell>
        </row>
        <row r="22">
          <cell r="B22" t="str">
            <v>Kafr El-Shaikh 2</v>
          </cell>
          <cell r="C22">
            <v>1057838</v>
          </cell>
        </row>
        <row r="23">
          <cell r="B23" t="str">
            <v>Alex_Gate</v>
          </cell>
          <cell r="C23">
            <v>2774133</v>
          </cell>
        </row>
        <row r="24">
          <cell r="B24" t="str">
            <v>MERGHANY</v>
          </cell>
          <cell r="C24">
            <v>274142.20000000007</v>
          </cell>
        </row>
        <row r="25">
          <cell r="B25" t="str">
            <v>MidTown</v>
          </cell>
          <cell r="C25">
            <v>113312</v>
          </cell>
        </row>
        <row r="26">
          <cell r="B26" t="str">
            <v>ELMAX</v>
          </cell>
          <cell r="C26">
            <v>663617.18000000075</v>
          </cell>
        </row>
        <row r="27">
          <cell r="B27" t="str">
            <v>Madinaty_Strip</v>
          </cell>
          <cell r="C27">
            <v>479519.24</v>
          </cell>
        </row>
        <row r="28">
          <cell r="B28" t="str">
            <v>K23</v>
          </cell>
          <cell r="C28">
            <v>744312</v>
          </cell>
        </row>
        <row r="29">
          <cell r="B29" t="str">
            <v>Chillout_Sharm</v>
          </cell>
          <cell r="C29">
            <v>1247736</v>
          </cell>
        </row>
        <row r="30">
          <cell r="B30" t="str">
            <v>AlAmein3</v>
          </cell>
          <cell r="C30">
            <v>6508546</v>
          </cell>
        </row>
        <row r="31">
          <cell r="B31" t="str">
            <v>AlWaha_City</v>
          </cell>
          <cell r="C31">
            <v>1053229</v>
          </cell>
        </row>
        <row r="32">
          <cell r="B32" t="str">
            <v>Assuit2</v>
          </cell>
          <cell r="C32">
            <v>671207</v>
          </cell>
        </row>
        <row r="33">
          <cell r="B33" t="str">
            <v>Adeer</v>
          </cell>
          <cell r="C33">
            <v>510932</v>
          </cell>
        </row>
        <row r="34">
          <cell r="B34" t="str">
            <v>Zamalek_MP</v>
          </cell>
          <cell r="C34">
            <v>1449700.84</v>
          </cell>
        </row>
        <row r="35">
          <cell r="B35" t="str">
            <v>Gesr</v>
          </cell>
          <cell r="C35">
            <v>1188348.2500000007</v>
          </cell>
        </row>
        <row r="36">
          <cell r="B36" t="str">
            <v>AL-SHAHID1</v>
          </cell>
          <cell r="C36">
            <v>3868911.5899999957</v>
          </cell>
        </row>
        <row r="37">
          <cell r="B37" t="str">
            <v>Sheraton_Stirp</v>
          </cell>
          <cell r="C37">
            <v>542945.56999999995</v>
          </cell>
        </row>
        <row r="38">
          <cell r="B38" t="str">
            <v>SuperJet</v>
          </cell>
          <cell r="C38">
            <v>1202895</v>
          </cell>
        </row>
        <row r="39">
          <cell r="B39" t="str">
            <v>AlAmein4</v>
          </cell>
          <cell r="C39">
            <v>1258338.07</v>
          </cell>
        </row>
        <row r="40">
          <cell r="B40" t="str">
            <v>K27</v>
          </cell>
          <cell r="C40">
            <v>889479.98000000149</v>
          </cell>
        </row>
        <row r="41">
          <cell r="B41" t="str">
            <v>MADINTY2</v>
          </cell>
          <cell r="C41">
            <v>666875</v>
          </cell>
        </row>
        <row r="42">
          <cell r="B42" t="str">
            <v>Chillout_ElHorya</v>
          </cell>
          <cell r="C42">
            <v>2503631</v>
          </cell>
        </row>
        <row r="43">
          <cell r="B43" t="str">
            <v>K38</v>
          </cell>
          <cell r="C43">
            <v>2663366.1599999997</v>
          </cell>
        </row>
        <row r="44">
          <cell r="B44" t="str">
            <v>TRUMPH</v>
          </cell>
          <cell r="C44">
            <v>5628935</v>
          </cell>
        </row>
        <row r="45">
          <cell r="B45" t="str">
            <v>NOBARIA</v>
          </cell>
          <cell r="C45">
            <v>4649653.7199999681</v>
          </cell>
        </row>
        <row r="46">
          <cell r="B46" t="str">
            <v>Shinzo3</v>
          </cell>
          <cell r="C46">
            <v>564574.73000000033</v>
          </cell>
        </row>
        <row r="47">
          <cell r="B47" t="str">
            <v>Midor</v>
          </cell>
          <cell r="C47">
            <v>6985115.9799999828</v>
          </cell>
        </row>
        <row r="48">
          <cell r="B48" t="str">
            <v>Alahly2</v>
          </cell>
          <cell r="C48">
            <v>662310.16</v>
          </cell>
        </row>
        <row r="49">
          <cell r="B49" t="str">
            <v>Chillout_Tayaran</v>
          </cell>
          <cell r="C49">
            <v>1046154.3700000001</v>
          </cell>
        </row>
        <row r="50">
          <cell r="B50" t="str">
            <v>Josip</v>
          </cell>
          <cell r="C50">
            <v>1270729.0899999999</v>
          </cell>
        </row>
        <row r="51">
          <cell r="B51" t="str">
            <v>CHILLOUT2</v>
          </cell>
          <cell r="C51">
            <v>5013961.3999999957</v>
          </cell>
        </row>
        <row r="52">
          <cell r="B52" t="str">
            <v>Heliopolis</v>
          </cell>
          <cell r="C52">
            <v>572200.27000000014</v>
          </cell>
        </row>
        <row r="53">
          <cell r="B53" t="str">
            <v>Kersh</v>
          </cell>
          <cell r="C53">
            <v>1669898</v>
          </cell>
        </row>
        <row r="54">
          <cell r="B54" t="str">
            <v>ElGabakhana</v>
          </cell>
          <cell r="C54">
            <v>2790987.0799999996</v>
          </cell>
        </row>
        <row r="55">
          <cell r="B55" t="str">
            <v>Nakheel</v>
          </cell>
          <cell r="C55">
            <v>4291155.5</v>
          </cell>
        </row>
        <row r="56">
          <cell r="B56" t="str">
            <v>Mivida2</v>
          </cell>
          <cell r="C56">
            <v>1031389</v>
          </cell>
        </row>
        <row r="57">
          <cell r="B57" t="str">
            <v>K21</v>
          </cell>
          <cell r="C57">
            <v>2699812.98</v>
          </cell>
        </row>
        <row r="58">
          <cell r="B58" t="str">
            <v>G7</v>
          </cell>
          <cell r="C58">
            <v>1318275.1300000004</v>
          </cell>
        </row>
        <row r="59">
          <cell r="B59" t="str">
            <v>Elshams</v>
          </cell>
          <cell r="C59">
            <v>748287.42999999993</v>
          </cell>
        </row>
        <row r="60">
          <cell r="B60" t="str">
            <v>Damietta2</v>
          </cell>
          <cell r="C60">
            <v>2193597</v>
          </cell>
        </row>
        <row r="61">
          <cell r="B61" t="str">
            <v>UH</v>
          </cell>
          <cell r="C61">
            <v>132809</v>
          </cell>
        </row>
        <row r="62">
          <cell r="B62" t="str">
            <v>NewCapital</v>
          </cell>
          <cell r="C62">
            <v>1162597</v>
          </cell>
        </row>
        <row r="63">
          <cell r="B63" t="str">
            <v>WAHA2</v>
          </cell>
          <cell r="C63">
            <v>2951806.569999997</v>
          </cell>
        </row>
        <row r="64">
          <cell r="B64" t="str">
            <v>Shazly</v>
          </cell>
          <cell r="C64">
            <v>2629170</v>
          </cell>
        </row>
        <row r="65">
          <cell r="B65" t="str">
            <v>Sheraton</v>
          </cell>
          <cell r="C65">
            <v>1794865</v>
          </cell>
        </row>
        <row r="66">
          <cell r="B66" t="str">
            <v>Hegaz</v>
          </cell>
          <cell r="C66">
            <v>1428611</v>
          </cell>
        </row>
        <row r="67">
          <cell r="B67" t="str">
            <v>Ismailia_Gate2</v>
          </cell>
          <cell r="C67">
            <v>3221535.439999992</v>
          </cell>
        </row>
        <row r="68">
          <cell r="B68" t="str">
            <v>Kafrawy</v>
          </cell>
          <cell r="C68">
            <v>1148016</v>
          </cell>
        </row>
        <row r="69">
          <cell r="B69" t="str">
            <v>TahiaMisr2</v>
          </cell>
          <cell r="C69">
            <v>2817260.6799999992</v>
          </cell>
        </row>
        <row r="70">
          <cell r="B70" t="str">
            <v>Marina_Walk</v>
          </cell>
          <cell r="C70">
            <v>2762857</v>
          </cell>
        </row>
        <row r="71">
          <cell r="B71" t="str">
            <v>M3Morah</v>
          </cell>
          <cell r="C71">
            <v>620720.4700000009</v>
          </cell>
        </row>
        <row r="72">
          <cell r="B72" t="str">
            <v>Dunes</v>
          </cell>
          <cell r="C72">
            <v>1871573.2000000011</v>
          </cell>
        </row>
        <row r="73">
          <cell r="B73" t="str">
            <v>Kafrawy2</v>
          </cell>
          <cell r="C73">
            <v>1490991.2100000004</v>
          </cell>
        </row>
        <row r="74">
          <cell r="B74" t="str">
            <v>ISMAILIA_GATE</v>
          </cell>
          <cell r="C74">
            <v>2186370</v>
          </cell>
        </row>
        <row r="75">
          <cell r="B75" t="str">
            <v>Smart</v>
          </cell>
          <cell r="C75">
            <v>1261498.18</v>
          </cell>
        </row>
        <row r="76">
          <cell r="B76" t="str">
            <v>Sheraton walk</v>
          </cell>
          <cell r="C76">
            <v>1388282.7600000007</v>
          </cell>
        </row>
        <row r="77">
          <cell r="B77" t="str">
            <v>Sodic_WMC</v>
          </cell>
          <cell r="C77">
            <v>1800468.6400000011</v>
          </cell>
        </row>
        <row r="78">
          <cell r="B78" t="str">
            <v>Maadi Mobil</v>
          </cell>
          <cell r="C78">
            <v>3598842.3499999982</v>
          </cell>
        </row>
        <row r="79">
          <cell r="B79" t="str">
            <v>Batrawi1</v>
          </cell>
          <cell r="C79">
            <v>617417.98000000045</v>
          </cell>
        </row>
        <row r="80">
          <cell r="B80" t="str">
            <v>Batrawi2</v>
          </cell>
          <cell r="C80">
            <v>676161</v>
          </cell>
        </row>
        <row r="81">
          <cell r="B81" t="str">
            <v>GREEN PARK</v>
          </cell>
          <cell r="C81">
            <v>1172810.2400000016</v>
          </cell>
        </row>
        <row r="82">
          <cell r="B82" t="str">
            <v>CFC</v>
          </cell>
          <cell r="C82">
            <v>5811343</v>
          </cell>
        </row>
        <row r="83">
          <cell r="B83" t="str">
            <v>AUC</v>
          </cell>
          <cell r="C83">
            <v>2897728.08</v>
          </cell>
        </row>
        <row r="84">
          <cell r="B84" t="str">
            <v>Shinzo2</v>
          </cell>
          <cell r="C84">
            <v>1084985.52</v>
          </cell>
        </row>
        <row r="85">
          <cell r="B85" t="str">
            <v>Shinzo1</v>
          </cell>
          <cell r="C85">
            <v>2275485.1800000002</v>
          </cell>
        </row>
        <row r="86">
          <cell r="B86" t="str">
            <v>Police_Academy</v>
          </cell>
          <cell r="C86">
            <v>856343</v>
          </cell>
        </row>
        <row r="87">
          <cell r="B87" t="str">
            <v>Tanta</v>
          </cell>
          <cell r="C87">
            <v>1355751.1</v>
          </cell>
        </row>
        <row r="88">
          <cell r="B88" t="str">
            <v>Assiut</v>
          </cell>
          <cell r="C88">
            <v>649838</v>
          </cell>
        </row>
        <row r="89">
          <cell r="B89" t="str">
            <v>Elnahas2</v>
          </cell>
          <cell r="C89">
            <v>1006557.08</v>
          </cell>
        </row>
        <row r="90">
          <cell r="B90" t="str">
            <v>NewDamietta</v>
          </cell>
          <cell r="C90">
            <v>3170622.9299999955</v>
          </cell>
        </row>
        <row r="91">
          <cell r="B91" t="str">
            <v>ElObour1</v>
          </cell>
          <cell r="C91">
            <v>2535882.3199999998</v>
          </cell>
        </row>
        <row r="92">
          <cell r="B92" t="str">
            <v>AL-REHAB</v>
          </cell>
          <cell r="C92">
            <v>6182323.3199999835</v>
          </cell>
        </row>
        <row r="93">
          <cell r="B93" t="str">
            <v>AlShorouk</v>
          </cell>
          <cell r="C93">
            <v>2023596.0300000017</v>
          </cell>
        </row>
        <row r="94">
          <cell r="B94" t="str">
            <v>Jehan</v>
          </cell>
          <cell r="C94">
            <v>1877375.5100000016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Roxy</v>
          </cell>
          <cell r="C2">
            <v>1234376.1900000002</v>
          </cell>
        </row>
        <row r="3">
          <cell r="B3" t="str">
            <v>Bluepark</v>
          </cell>
          <cell r="C3">
            <v>553690.14</v>
          </cell>
        </row>
        <row r="4">
          <cell r="B4" t="str">
            <v>Dolphin</v>
          </cell>
          <cell r="C4">
            <v>2002017.0500000007</v>
          </cell>
        </row>
        <row r="5">
          <cell r="B5" t="str">
            <v>TenthOfRamadan</v>
          </cell>
          <cell r="C5">
            <v>870717</v>
          </cell>
        </row>
        <row r="6">
          <cell r="B6" t="str">
            <v>Elsanhoury2</v>
          </cell>
          <cell r="C6">
            <v>378625.02</v>
          </cell>
        </row>
        <row r="7">
          <cell r="B7" t="str">
            <v>AlAhly1</v>
          </cell>
          <cell r="C7">
            <v>764190</v>
          </cell>
        </row>
        <row r="8">
          <cell r="B8" t="str">
            <v>Elsanhoury1</v>
          </cell>
          <cell r="C8">
            <v>568798.13000000012</v>
          </cell>
        </row>
        <row r="9">
          <cell r="B9" t="str">
            <v>BUE</v>
          </cell>
          <cell r="C9">
            <v>48443</v>
          </cell>
        </row>
        <row r="10">
          <cell r="B10" t="str">
            <v>AIRPORT</v>
          </cell>
          <cell r="C10">
            <v>1841221.11</v>
          </cell>
        </row>
        <row r="11">
          <cell r="B11" t="str">
            <v>Sadat</v>
          </cell>
          <cell r="C11">
            <v>3745987.6599999871</v>
          </cell>
        </row>
        <row r="12">
          <cell r="B12" t="str">
            <v>Pgardens</v>
          </cell>
          <cell r="C12">
            <v>4904569.8299999619</v>
          </cell>
        </row>
        <row r="13">
          <cell r="B13" t="str">
            <v>UPTOWN</v>
          </cell>
          <cell r="C13">
            <v>957750.06</v>
          </cell>
        </row>
        <row r="14">
          <cell r="B14" t="str">
            <v>MADINTY3</v>
          </cell>
          <cell r="C14">
            <v>657061</v>
          </cell>
        </row>
        <row r="15">
          <cell r="B15" t="str">
            <v>AL-SHAHID2</v>
          </cell>
          <cell r="C15">
            <v>1824832.0400000017</v>
          </cell>
        </row>
        <row r="16">
          <cell r="B16" t="str">
            <v>Dokki</v>
          </cell>
          <cell r="C16">
            <v>1313665.1199999999</v>
          </cell>
        </row>
        <row r="17">
          <cell r="B17" t="str">
            <v>MoharamBek</v>
          </cell>
          <cell r="C17">
            <v>5710571.5999997389</v>
          </cell>
        </row>
        <row r="18">
          <cell r="B18" t="str">
            <v>WAHA-CITY</v>
          </cell>
          <cell r="C18">
            <v>1097442.83</v>
          </cell>
        </row>
        <row r="19">
          <cell r="B19" t="str">
            <v>MarseiliaBeach4</v>
          </cell>
          <cell r="C19">
            <v>1782723</v>
          </cell>
        </row>
        <row r="20">
          <cell r="B20" t="str">
            <v>CITYSCAPE</v>
          </cell>
          <cell r="C20">
            <v>462563.25000000006</v>
          </cell>
        </row>
        <row r="21">
          <cell r="B21" t="str">
            <v>MADINTY1</v>
          </cell>
          <cell r="C21">
            <v>1552347</v>
          </cell>
        </row>
        <row r="22">
          <cell r="B22" t="str">
            <v>Alex_Gate</v>
          </cell>
          <cell r="C22">
            <v>2817359.2199999983</v>
          </cell>
        </row>
        <row r="23">
          <cell r="B23" t="str">
            <v>CHILL2</v>
          </cell>
          <cell r="C23">
            <v>5519880.4699998926</v>
          </cell>
        </row>
        <row r="24">
          <cell r="B24" t="str">
            <v>MERGHANY</v>
          </cell>
          <cell r="C24">
            <v>304671.10000000003</v>
          </cell>
        </row>
        <row r="25">
          <cell r="B25" t="str">
            <v>Madinaty_Strip</v>
          </cell>
          <cell r="C25">
            <v>716204</v>
          </cell>
        </row>
        <row r="26">
          <cell r="B26" t="str">
            <v>K23</v>
          </cell>
          <cell r="C26">
            <v>907617.84000000102</v>
          </cell>
        </row>
        <row r="27">
          <cell r="B27" t="str">
            <v>Assuit2</v>
          </cell>
          <cell r="C27">
            <v>702592</v>
          </cell>
        </row>
        <row r="28">
          <cell r="B28" t="str">
            <v>Zamalek_MP</v>
          </cell>
          <cell r="C28">
            <v>1529334.23</v>
          </cell>
        </row>
        <row r="29">
          <cell r="B29" t="str">
            <v>MidTown</v>
          </cell>
          <cell r="C29">
            <v>699084</v>
          </cell>
        </row>
        <row r="30">
          <cell r="B30" t="str">
            <v>ELMAX</v>
          </cell>
          <cell r="C30">
            <v>714607.15000000014</v>
          </cell>
        </row>
        <row r="31">
          <cell r="B31" t="str">
            <v>Chillout_Sharm</v>
          </cell>
          <cell r="C31">
            <v>1354258.2600000002</v>
          </cell>
        </row>
        <row r="32">
          <cell r="B32" t="str">
            <v>Alamein3</v>
          </cell>
          <cell r="C32">
            <v>7971492.2299999958</v>
          </cell>
        </row>
        <row r="33">
          <cell r="B33" t="str">
            <v>Adeer</v>
          </cell>
          <cell r="C33">
            <v>515678.06000000006</v>
          </cell>
        </row>
        <row r="34">
          <cell r="B34" t="str">
            <v>Gesr</v>
          </cell>
          <cell r="C34">
            <v>1217490</v>
          </cell>
        </row>
        <row r="35">
          <cell r="B35" t="str">
            <v>Sheraton_Stirp</v>
          </cell>
          <cell r="C35">
            <v>527315.23</v>
          </cell>
        </row>
        <row r="36">
          <cell r="B36" t="str">
            <v>SuperJet</v>
          </cell>
          <cell r="C36">
            <v>1626450</v>
          </cell>
        </row>
        <row r="37">
          <cell r="B37" t="str">
            <v>K27</v>
          </cell>
          <cell r="C37">
            <v>915327.69000000053</v>
          </cell>
        </row>
        <row r="38">
          <cell r="B38" t="str">
            <v>MADINTY2</v>
          </cell>
          <cell r="C38">
            <v>624297</v>
          </cell>
        </row>
        <row r="39">
          <cell r="B39" t="str">
            <v>Kafr2</v>
          </cell>
          <cell r="C39">
            <v>1173839</v>
          </cell>
        </row>
        <row r="40">
          <cell r="B40" t="str">
            <v>Chillout_ElHorya</v>
          </cell>
          <cell r="C40">
            <v>2686709.77999999</v>
          </cell>
        </row>
        <row r="41">
          <cell r="B41" t="str">
            <v>TRUMPH</v>
          </cell>
          <cell r="C41">
            <v>5268691</v>
          </cell>
        </row>
        <row r="42">
          <cell r="B42" t="str">
            <v>AL-SHAHID1</v>
          </cell>
          <cell r="C42">
            <v>3996395.4799999902</v>
          </cell>
        </row>
        <row r="43">
          <cell r="B43" t="str">
            <v>AlAmein4</v>
          </cell>
          <cell r="C43">
            <v>1540363.2200000002</v>
          </cell>
        </row>
        <row r="44">
          <cell r="B44" t="str">
            <v>K38</v>
          </cell>
          <cell r="C44">
            <v>2822331.3600000022</v>
          </cell>
        </row>
        <row r="45">
          <cell r="B45" t="str">
            <v>Shinzo3</v>
          </cell>
          <cell r="C45">
            <v>542879.51000000024</v>
          </cell>
        </row>
        <row r="46">
          <cell r="B46" t="str">
            <v>Midor</v>
          </cell>
          <cell r="C46">
            <v>6865864.5199999269</v>
          </cell>
        </row>
        <row r="47">
          <cell r="B47" t="str">
            <v>Alahly2</v>
          </cell>
          <cell r="C47">
            <v>729812.03</v>
          </cell>
        </row>
        <row r="48">
          <cell r="B48" t="str">
            <v>Chillout_Tayaran</v>
          </cell>
          <cell r="C48">
            <v>1032343.3300000003</v>
          </cell>
        </row>
        <row r="49">
          <cell r="B49" t="str">
            <v>Josip</v>
          </cell>
          <cell r="C49">
            <v>1263152.7200000004</v>
          </cell>
        </row>
        <row r="50">
          <cell r="B50" t="str">
            <v>Heliopolis</v>
          </cell>
          <cell r="C50">
            <v>689190.07000000007</v>
          </cell>
        </row>
        <row r="51">
          <cell r="B51" t="str">
            <v>ElGabakhana</v>
          </cell>
          <cell r="C51">
            <v>2881255.0199999968</v>
          </cell>
        </row>
        <row r="52">
          <cell r="B52" t="str">
            <v>Nakheel</v>
          </cell>
          <cell r="C52">
            <v>4064131.2999999942</v>
          </cell>
        </row>
        <row r="53">
          <cell r="B53" t="str">
            <v>K21</v>
          </cell>
          <cell r="C53">
            <v>3002854.3699999964</v>
          </cell>
        </row>
        <row r="54">
          <cell r="B54" t="str">
            <v>G7</v>
          </cell>
          <cell r="C54">
            <v>1316627.3500000003</v>
          </cell>
        </row>
        <row r="55">
          <cell r="B55" t="str">
            <v>NOBARIA</v>
          </cell>
          <cell r="C55">
            <v>4558012.9099999443</v>
          </cell>
        </row>
        <row r="56">
          <cell r="B56" t="str">
            <v>KERSH</v>
          </cell>
          <cell r="C56">
            <v>1832527</v>
          </cell>
        </row>
        <row r="57">
          <cell r="B57" t="str">
            <v>Mivida2</v>
          </cell>
          <cell r="C57">
            <v>928307.10000000009</v>
          </cell>
        </row>
        <row r="58">
          <cell r="B58" t="str">
            <v xml:space="preserve">Elle_Marina5  </v>
          </cell>
          <cell r="C58">
            <v>170953</v>
          </cell>
        </row>
        <row r="59">
          <cell r="B59" t="str">
            <v>Elshams</v>
          </cell>
          <cell r="C59">
            <v>722961.09000000008</v>
          </cell>
        </row>
        <row r="60">
          <cell r="B60" t="str">
            <v>Damietta2</v>
          </cell>
          <cell r="C60">
            <v>2306991.2300000004</v>
          </cell>
        </row>
        <row r="61">
          <cell r="B61" t="str">
            <v>UH</v>
          </cell>
          <cell r="C61">
            <v>122375</v>
          </cell>
        </row>
        <row r="62">
          <cell r="B62" t="str">
            <v>Shazly</v>
          </cell>
          <cell r="C62">
            <v>2748037.1199999684</v>
          </cell>
        </row>
        <row r="63">
          <cell r="B63" t="str">
            <v>Sheraton</v>
          </cell>
          <cell r="C63">
            <v>1761164.1</v>
          </cell>
        </row>
        <row r="64">
          <cell r="B64" t="str">
            <v>Ismailia_Gate2</v>
          </cell>
          <cell r="C64">
            <v>4318853.1499999855</v>
          </cell>
        </row>
        <row r="65">
          <cell r="B65" t="str">
            <v>NewCapital</v>
          </cell>
          <cell r="C65">
            <v>1222019.1400000001</v>
          </cell>
        </row>
        <row r="66">
          <cell r="B66" t="str">
            <v>WAHA2</v>
          </cell>
          <cell r="C66">
            <v>2520955.359999992</v>
          </cell>
        </row>
        <row r="67">
          <cell r="B67" t="str">
            <v>Hegaz</v>
          </cell>
          <cell r="C67">
            <v>2054314</v>
          </cell>
        </row>
        <row r="68">
          <cell r="B68" t="str">
            <v>TahiaMIsr2</v>
          </cell>
          <cell r="C68">
            <v>2887192.5599999954</v>
          </cell>
        </row>
        <row r="69">
          <cell r="B69" t="str">
            <v>Marina_Walk</v>
          </cell>
          <cell r="C69">
            <v>3622889.15</v>
          </cell>
        </row>
        <row r="70">
          <cell r="B70" t="str">
            <v>Dunes</v>
          </cell>
          <cell r="C70">
            <v>1906305.3000000012</v>
          </cell>
        </row>
        <row r="71">
          <cell r="B71" t="str">
            <v>ISMAILIA_GATE</v>
          </cell>
          <cell r="C71">
            <v>2217932</v>
          </cell>
        </row>
        <row r="72">
          <cell r="B72" t="str">
            <v>CFC</v>
          </cell>
          <cell r="C72">
            <v>6191838.319999936</v>
          </cell>
        </row>
        <row r="73">
          <cell r="B73" t="str">
            <v>Kafrawy</v>
          </cell>
          <cell r="C73">
            <v>1179276.9500000007</v>
          </cell>
        </row>
        <row r="74">
          <cell r="B74" t="str">
            <v>M3Morah</v>
          </cell>
          <cell r="C74">
            <v>617506.64000000036</v>
          </cell>
        </row>
        <row r="75">
          <cell r="B75" t="str">
            <v>Kafrawy2</v>
          </cell>
          <cell r="C75">
            <v>1491827.1000000008</v>
          </cell>
        </row>
        <row r="76">
          <cell r="B76" t="str">
            <v>Smart</v>
          </cell>
          <cell r="C76">
            <v>1379653.68</v>
          </cell>
        </row>
        <row r="77">
          <cell r="B77" t="str">
            <v>Sheraton walk</v>
          </cell>
          <cell r="C77">
            <v>1392239.5600000003</v>
          </cell>
        </row>
        <row r="78">
          <cell r="B78" t="str">
            <v>Sodic_WMC</v>
          </cell>
          <cell r="C78">
            <v>1763668.6700000006</v>
          </cell>
        </row>
        <row r="79">
          <cell r="B79" t="str">
            <v>Batrawi1</v>
          </cell>
          <cell r="C79">
            <v>654503.06000000006</v>
          </cell>
        </row>
        <row r="80">
          <cell r="B80" t="str">
            <v>Batrawi2</v>
          </cell>
          <cell r="C80">
            <v>714546</v>
          </cell>
        </row>
        <row r="81">
          <cell r="B81" t="str">
            <v>GREEN PARK</v>
          </cell>
          <cell r="C81">
            <v>692290.64999999991</v>
          </cell>
        </row>
        <row r="82">
          <cell r="B82" t="str">
            <v>Shinzo1</v>
          </cell>
          <cell r="C82">
            <v>2813458.2299999986</v>
          </cell>
        </row>
        <row r="83">
          <cell r="B83" t="str">
            <v>Police_Academy</v>
          </cell>
          <cell r="C83">
            <v>890508</v>
          </cell>
        </row>
        <row r="84">
          <cell r="B84" t="str">
            <v>Maadimobil</v>
          </cell>
          <cell r="C84">
            <v>3666037.5599999912</v>
          </cell>
        </row>
        <row r="85">
          <cell r="B85" t="str">
            <v>Tanta</v>
          </cell>
          <cell r="C85">
            <v>1546893.42</v>
          </cell>
        </row>
        <row r="86">
          <cell r="B86" t="str">
            <v>Assiut</v>
          </cell>
          <cell r="C86">
            <v>658278</v>
          </cell>
        </row>
        <row r="87">
          <cell r="B87" t="str">
            <v>Elnahas2</v>
          </cell>
          <cell r="C87">
            <v>926278</v>
          </cell>
        </row>
        <row r="88">
          <cell r="B88" t="str">
            <v>AUC</v>
          </cell>
          <cell r="C88">
            <v>2943315.3199999705</v>
          </cell>
        </row>
        <row r="89">
          <cell r="B89" t="str">
            <v>Shinzo2</v>
          </cell>
          <cell r="C89">
            <v>1061794.1900000002</v>
          </cell>
        </row>
        <row r="90">
          <cell r="B90" t="str">
            <v>NewDamietta</v>
          </cell>
          <cell r="C90">
            <v>3346765.669999999</v>
          </cell>
        </row>
        <row r="91">
          <cell r="B91" t="str">
            <v>ElObour1</v>
          </cell>
          <cell r="C91">
            <v>2541893.34</v>
          </cell>
        </row>
        <row r="92">
          <cell r="B92" t="str">
            <v>AL-REHAB</v>
          </cell>
          <cell r="C92">
            <v>5424877.4699999643</v>
          </cell>
        </row>
        <row r="93">
          <cell r="B93" t="str">
            <v>AlShorouk</v>
          </cell>
          <cell r="C93">
            <v>2006855.8300000015</v>
          </cell>
        </row>
        <row r="94">
          <cell r="B94" t="str">
            <v>Jehan</v>
          </cell>
          <cell r="C94">
            <v>1870355.300000001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Adeer</v>
          </cell>
          <cell r="C2">
            <v>387233.12000000005</v>
          </cell>
        </row>
        <row r="3">
          <cell r="B3" t="str">
            <v>AIRPORT</v>
          </cell>
          <cell r="C3">
            <v>1900839.1300000011</v>
          </cell>
        </row>
        <row r="4">
          <cell r="B4" t="str">
            <v>AlAhly1</v>
          </cell>
          <cell r="C4">
            <v>774474.29000000015</v>
          </cell>
        </row>
        <row r="5">
          <cell r="B5" t="str">
            <v>Alahly2</v>
          </cell>
          <cell r="C5">
            <v>765782</v>
          </cell>
        </row>
        <row r="6">
          <cell r="B6" t="str">
            <v>Alamein3</v>
          </cell>
          <cell r="C6">
            <v>3603128</v>
          </cell>
        </row>
        <row r="7">
          <cell r="B7" t="str">
            <v>AlAmein4</v>
          </cell>
          <cell r="C7">
            <v>510052.03</v>
          </cell>
        </row>
        <row r="8">
          <cell r="B8" t="str">
            <v>Alex_Gate</v>
          </cell>
          <cell r="C8">
            <v>2504308.56</v>
          </cell>
        </row>
        <row r="9">
          <cell r="B9" t="str">
            <v>AL-REHAB</v>
          </cell>
          <cell r="C9">
            <v>5503797.0399999795</v>
          </cell>
        </row>
        <row r="10">
          <cell r="B10" t="str">
            <v>AL-SHAHID1</v>
          </cell>
          <cell r="C10">
            <v>4002004.519999994</v>
          </cell>
        </row>
        <row r="11">
          <cell r="B11" t="str">
            <v>AL-SHAHID2</v>
          </cell>
          <cell r="C11">
            <v>1713914.7200000002</v>
          </cell>
        </row>
        <row r="12">
          <cell r="B12" t="str">
            <v>AlShorouk</v>
          </cell>
          <cell r="C12">
            <v>1987149.2000000002</v>
          </cell>
        </row>
        <row r="13">
          <cell r="B13" t="str">
            <v>Assiut</v>
          </cell>
          <cell r="C13">
            <v>288464</v>
          </cell>
        </row>
        <row r="14">
          <cell r="B14" t="str">
            <v>Assuit2</v>
          </cell>
          <cell r="C14">
            <v>699959</v>
          </cell>
        </row>
        <row r="15">
          <cell r="B15" t="str">
            <v>AUC</v>
          </cell>
          <cell r="C15">
            <v>3121530</v>
          </cell>
        </row>
        <row r="16">
          <cell r="B16" t="str">
            <v>Batrawi1</v>
          </cell>
          <cell r="C16">
            <v>620271.30000000028</v>
          </cell>
        </row>
        <row r="17">
          <cell r="B17" t="str">
            <v>Batrawi2</v>
          </cell>
          <cell r="C17">
            <v>778489.54000000027</v>
          </cell>
        </row>
        <row r="18">
          <cell r="B18" t="str">
            <v>Bluepark</v>
          </cell>
          <cell r="C18">
            <v>488517.04</v>
          </cell>
        </row>
        <row r="19">
          <cell r="B19" t="str">
            <v>BUE</v>
          </cell>
          <cell r="C19">
            <v>170712</v>
          </cell>
        </row>
        <row r="20">
          <cell r="B20" t="str">
            <v>CFC</v>
          </cell>
          <cell r="C20">
            <v>5703893.799999997</v>
          </cell>
        </row>
        <row r="21">
          <cell r="B21" t="str">
            <v>ChampsElysees</v>
          </cell>
          <cell r="C21">
            <v>14</v>
          </cell>
        </row>
        <row r="22">
          <cell r="B22" t="str">
            <v>CHILL2</v>
          </cell>
          <cell r="C22">
            <v>4649458.24</v>
          </cell>
        </row>
        <row r="23">
          <cell r="B23" t="str">
            <v>Chillout_ElHorya</v>
          </cell>
          <cell r="C23">
            <v>2643132</v>
          </cell>
        </row>
        <row r="24">
          <cell r="B24" t="str">
            <v>Chillout_Sharm</v>
          </cell>
          <cell r="C24">
            <v>1045536.2300000002</v>
          </cell>
        </row>
        <row r="25">
          <cell r="B25" t="str">
            <v>Chillout_Tayaran</v>
          </cell>
          <cell r="C25">
            <v>1012185.2700000001</v>
          </cell>
        </row>
        <row r="26">
          <cell r="B26" t="str">
            <v>CITYSCAPE</v>
          </cell>
          <cell r="C26">
            <v>458700.18</v>
          </cell>
        </row>
        <row r="27">
          <cell r="B27" t="str">
            <v>Damietta2</v>
          </cell>
          <cell r="C27">
            <v>2221706.0099999998</v>
          </cell>
        </row>
        <row r="28">
          <cell r="B28" t="str">
            <v>Dokki</v>
          </cell>
          <cell r="C28">
            <v>1174669.76</v>
          </cell>
        </row>
        <row r="29">
          <cell r="B29" t="str">
            <v>Dolphin</v>
          </cell>
          <cell r="C29">
            <v>2127538.3400000003</v>
          </cell>
        </row>
        <row r="30">
          <cell r="B30" t="str">
            <v>Dunes</v>
          </cell>
          <cell r="C30">
            <v>2410518.0799999996</v>
          </cell>
        </row>
        <row r="31">
          <cell r="B31" t="str">
            <v>ElGabakhana</v>
          </cell>
          <cell r="C31">
            <v>2786064.6699999943</v>
          </cell>
        </row>
        <row r="32">
          <cell r="B32" t="str">
            <v xml:space="preserve">Elle_Marina5  </v>
          </cell>
          <cell r="C32">
            <v>25285</v>
          </cell>
        </row>
        <row r="33">
          <cell r="B33" t="str">
            <v>ELMAX</v>
          </cell>
          <cell r="C33">
            <v>656778.12</v>
          </cell>
        </row>
        <row r="34">
          <cell r="B34" t="str">
            <v>Elnahas2</v>
          </cell>
          <cell r="C34">
            <v>964389.35999999987</v>
          </cell>
        </row>
        <row r="35">
          <cell r="B35" t="str">
            <v>ElObour1</v>
          </cell>
          <cell r="C35">
            <v>2398607.16</v>
          </cell>
        </row>
        <row r="36">
          <cell r="B36" t="str">
            <v>Elsanhoury1</v>
          </cell>
          <cell r="C36">
            <v>538113.4</v>
          </cell>
        </row>
        <row r="37">
          <cell r="B37" t="str">
            <v>Elsanhoury2</v>
          </cell>
          <cell r="C37">
            <v>402755.01</v>
          </cell>
        </row>
        <row r="38">
          <cell r="B38" t="str">
            <v>Elshams</v>
          </cell>
          <cell r="C38">
            <v>785993.25000000012</v>
          </cell>
        </row>
        <row r="39">
          <cell r="B39" t="str">
            <v>G7</v>
          </cell>
          <cell r="C39">
            <v>1243512.05</v>
          </cell>
        </row>
        <row r="40">
          <cell r="B40" t="str">
            <v>Gesr</v>
          </cell>
          <cell r="C40">
            <v>1191956</v>
          </cell>
        </row>
        <row r="41">
          <cell r="B41" t="str">
            <v>Hegaz</v>
          </cell>
          <cell r="C41">
            <v>2461992.71</v>
          </cell>
        </row>
        <row r="42">
          <cell r="B42" t="str">
            <v>Heliopolis</v>
          </cell>
          <cell r="C42">
            <v>616479</v>
          </cell>
        </row>
        <row r="43">
          <cell r="B43" t="str">
            <v>ISMAILIA_GATE</v>
          </cell>
          <cell r="C43">
            <v>2196572</v>
          </cell>
        </row>
        <row r="44">
          <cell r="B44" t="str">
            <v>Ismailia_Gate2</v>
          </cell>
          <cell r="C44">
            <v>4643698.08</v>
          </cell>
        </row>
        <row r="45">
          <cell r="B45" t="str">
            <v>Jehan</v>
          </cell>
          <cell r="C45">
            <v>1788723.8600000006</v>
          </cell>
        </row>
        <row r="46">
          <cell r="B46" t="str">
            <v>Josip</v>
          </cell>
          <cell r="C46">
            <v>1190941</v>
          </cell>
        </row>
        <row r="47">
          <cell r="B47" t="str">
            <v>K21</v>
          </cell>
          <cell r="C47">
            <v>2694575</v>
          </cell>
        </row>
        <row r="48">
          <cell r="B48" t="str">
            <v>K23</v>
          </cell>
          <cell r="C48">
            <v>1026740.25</v>
          </cell>
        </row>
        <row r="49">
          <cell r="B49" t="str">
            <v>K27</v>
          </cell>
          <cell r="C49">
            <v>862266.43000000017</v>
          </cell>
        </row>
        <row r="50">
          <cell r="B50" t="str">
            <v>K38</v>
          </cell>
          <cell r="C50">
            <v>2322683.46</v>
          </cell>
        </row>
        <row r="51">
          <cell r="B51" t="str">
            <v>Kafr2</v>
          </cell>
          <cell r="C51">
            <v>1114844</v>
          </cell>
        </row>
        <row r="52">
          <cell r="B52" t="str">
            <v>Kafrawy</v>
          </cell>
          <cell r="C52">
            <v>1089417.02</v>
          </cell>
        </row>
        <row r="53">
          <cell r="B53" t="str">
            <v>Kafrawy2</v>
          </cell>
          <cell r="C53">
            <v>1588161</v>
          </cell>
        </row>
        <row r="54">
          <cell r="B54" t="str">
            <v>KERSH</v>
          </cell>
          <cell r="C54">
            <v>1559808</v>
          </cell>
        </row>
        <row r="55">
          <cell r="B55" t="str">
            <v>M3Morah</v>
          </cell>
          <cell r="C55">
            <v>579494.16</v>
          </cell>
        </row>
        <row r="56">
          <cell r="B56" t="str">
            <v>Maadimobil</v>
          </cell>
          <cell r="C56">
            <v>3561620.47</v>
          </cell>
        </row>
        <row r="57">
          <cell r="B57" t="str">
            <v>Madinaty_Strip</v>
          </cell>
          <cell r="C57">
            <v>665686</v>
          </cell>
        </row>
        <row r="58">
          <cell r="B58" t="str">
            <v>MADINTY1</v>
          </cell>
          <cell r="C58">
            <v>1613617</v>
          </cell>
        </row>
        <row r="59">
          <cell r="B59" t="str">
            <v>MADINTY2</v>
          </cell>
          <cell r="C59">
            <v>711919</v>
          </cell>
        </row>
        <row r="60">
          <cell r="B60" t="str">
            <v>MADINTY3</v>
          </cell>
          <cell r="C60">
            <v>624123</v>
          </cell>
        </row>
        <row r="61">
          <cell r="B61" t="str">
            <v>Marina_Walk</v>
          </cell>
          <cell r="C61">
            <v>1388355.07</v>
          </cell>
        </row>
        <row r="62">
          <cell r="B62" t="str">
            <v>MarseiliaBeach4</v>
          </cell>
          <cell r="C62">
            <v>541946</v>
          </cell>
        </row>
        <row r="63">
          <cell r="B63" t="str">
            <v>MERGHANY</v>
          </cell>
          <cell r="C63">
            <v>325535.06</v>
          </cell>
        </row>
        <row r="64">
          <cell r="B64" t="str">
            <v>Midor</v>
          </cell>
          <cell r="C64">
            <v>6852016.1400000006</v>
          </cell>
        </row>
        <row r="65">
          <cell r="B65" t="str">
            <v>MidTown</v>
          </cell>
          <cell r="C65">
            <v>779351</v>
          </cell>
        </row>
        <row r="66">
          <cell r="B66" t="str">
            <v>Mivida2</v>
          </cell>
          <cell r="C66">
            <v>334834.08999999997</v>
          </cell>
        </row>
        <row r="67">
          <cell r="B67" t="str">
            <v>MoharamBek</v>
          </cell>
          <cell r="C67">
            <v>4405392</v>
          </cell>
        </row>
        <row r="68">
          <cell r="B68" t="str">
            <v>Nakheel</v>
          </cell>
          <cell r="C68">
            <v>3826800.8100000019</v>
          </cell>
        </row>
        <row r="69">
          <cell r="B69" t="str">
            <v>NewCapital</v>
          </cell>
          <cell r="C69">
            <v>1272293.2200000002</v>
          </cell>
        </row>
        <row r="70">
          <cell r="B70" t="str">
            <v>NewDamietta</v>
          </cell>
          <cell r="C70">
            <v>2860914.6299999962</v>
          </cell>
        </row>
        <row r="71">
          <cell r="B71" t="str">
            <v>NOBARIA</v>
          </cell>
          <cell r="C71">
            <v>4038360.7999999868</v>
          </cell>
        </row>
        <row r="72">
          <cell r="B72" t="str">
            <v>Pgardens</v>
          </cell>
          <cell r="C72">
            <v>4910969.2399999965</v>
          </cell>
        </row>
        <row r="73">
          <cell r="B73" t="str">
            <v>Police_Academy</v>
          </cell>
          <cell r="C73">
            <v>816627</v>
          </cell>
        </row>
        <row r="74">
          <cell r="B74" t="str">
            <v>Roxy</v>
          </cell>
          <cell r="C74">
            <v>917716.03</v>
          </cell>
        </row>
        <row r="75">
          <cell r="B75" t="str">
            <v>Sadat</v>
          </cell>
          <cell r="C75">
            <v>4063902.489999997</v>
          </cell>
        </row>
        <row r="76">
          <cell r="B76" t="str">
            <v>Shazly</v>
          </cell>
          <cell r="C76">
            <v>2517594.0199999996</v>
          </cell>
        </row>
        <row r="77">
          <cell r="B77" t="str">
            <v>Sheraton</v>
          </cell>
          <cell r="C77">
            <v>1634722</v>
          </cell>
        </row>
        <row r="78">
          <cell r="B78" t="str">
            <v>Sheraton walk</v>
          </cell>
          <cell r="C78">
            <v>1408408.1</v>
          </cell>
        </row>
        <row r="79">
          <cell r="B79" t="str">
            <v>Sheraton_Stirp</v>
          </cell>
          <cell r="C79">
            <v>588530.35000000033</v>
          </cell>
        </row>
        <row r="80">
          <cell r="B80" t="str">
            <v>Shinzo1</v>
          </cell>
          <cell r="C80">
            <v>2983321.3</v>
          </cell>
        </row>
        <row r="81">
          <cell r="B81" t="str">
            <v>Shinzo2</v>
          </cell>
          <cell r="C81">
            <v>967527</v>
          </cell>
        </row>
        <row r="82">
          <cell r="B82" t="str">
            <v>Shinzo3</v>
          </cell>
          <cell r="C82">
            <v>573544.1</v>
          </cell>
        </row>
        <row r="83">
          <cell r="B83" t="str">
            <v>Smart</v>
          </cell>
          <cell r="C83">
            <v>1422454.320000001</v>
          </cell>
        </row>
        <row r="84">
          <cell r="B84" t="str">
            <v>Sodic_WMC</v>
          </cell>
          <cell r="C84">
            <v>1850130.1800000002</v>
          </cell>
        </row>
        <row r="85">
          <cell r="B85" t="str">
            <v>SuperJet</v>
          </cell>
          <cell r="C85">
            <v>1634680.01</v>
          </cell>
        </row>
        <row r="86">
          <cell r="B86" t="str">
            <v>TahiaMIsr2</v>
          </cell>
          <cell r="C86">
            <v>2271513.6500000004</v>
          </cell>
        </row>
        <row r="87">
          <cell r="B87" t="str">
            <v>Tanta</v>
          </cell>
          <cell r="C87">
            <v>1383140</v>
          </cell>
        </row>
        <row r="88">
          <cell r="B88" t="str">
            <v>TenthOfRamadan</v>
          </cell>
          <cell r="C88">
            <v>969573</v>
          </cell>
        </row>
        <row r="89">
          <cell r="B89" t="str">
            <v>TRUMPH</v>
          </cell>
          <cell r="C89">
            <v>5439385</v>
          </cell>
        </row>
        <row r="90">
          <cell r="B90" t="str">
            <v>UH</v>
          </cell>
          <cell r="C90">
            <v>385333</v>
          </cell>
        </row>
        <row r="91">
          <cell r="B91" t="str">
            <v>UPTOWN</v>
          </cell>
          <cell r="C91">
            <v>1063491.03</v>
          </cell>
        </row>
        <row r="92">
          <cell r="B92" t="str">
            <v>WAHA2</v>
          </cell>
          <cell r="C92">
            <v>2098781.1300000036</v>
          </cell>
        </row>
        <row r="93">
          <cell r="B93" t="str">
            <v>WAHA-CITY</v>
          </cell>
          <cell r="C93">
            <v>1110153</v>
          </cell>
        </row>
        <row r="94">
          <cell r="B94" t="str">
            <v>Zamalek_MP</v>
          </cell>
          <cell r="C94">
            <v>1523162.6500000004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Adeer</v>
          </cell>
          <cell r="C2">
            <v>422269.48000000033</v>
          </cell>
        </row>
        <row r="3">
          <cell r="B3" t="str">
            <v>AIRPORT</v>
          </cell>
          <cell r="C3">
            <v>2225299.1500000004</v>
          </cell>
        </row>
        <row r="4">
          <cell r="B4" t="str">
            <v>AlAhly1</v>
          </cell>
          <cell r="C4">
            <v>854268.35000000079</v>
          </cell>
        </row>
        <row r="5">
          <cell r="B5" t="str">
            <v>Alahly2</v>
          </cell>
          <cell r="C5">
            <v>922986.7500000007</v>
          </cell>
        </row>
        <row r="6">
          <cell r="B6" t="str">
            <v>Alamein3</v>
          </cell>
          <cell r="C6">
            <v>1514953</v>
          </cell>
        </row>
        <row r="7">
          <cell r="B7" t="str">
            <v>Alex_Gate</v>
          </cell>
          <cell r="C7">
            <v>2314816.2000000002</v>
          </cell>
        </row>
        <row r="8">
          <cell r="B8" t="str">
            <v>AL-REHAB</v>
          </cell>
          <cell r="C8">
            <v>5873879.8899999503</v>
          </cell>
        </row>
        <row r="9">
          <cell r="B9" t="str">
            <v>AL-SHAHID1</v>
          </cell>
          <cell r="C9">
            <v>4227962.1999999601</v>
          </cell>
        </row>
        <row r="10">
          <cell r="B10" t="str">
            <v>AL-SHAHID2</v>
          </cell>
          <cell r="C10">
            <v>1879591.2400000009</v>
          </cell>
        </row>
        <row r="11">
          <cell r="B11" t="str">
            <v>AlShorouk</v>
          </cell>
          <cell r="C11">
            <v>2215447.5900000008</v>
          </cell>
        </row>
        <row r="12">
          <cell r="B12" t="str">
            <v>Assuit2</v>
          </cell>
          <cell r="C12">
            <v>684413</v>
          </cell>
        </row>
        <row r="13">
          <cell r="B13" t="str">
            <v>AUC</v>
          </cell>
          <cell r="C13">
            <v>3022173.7999999928</v>
          </cell>
        </row>
        <row r="14">
          <cell r="B14" t="str">
            <v>Batrawi1</v>
          </cell>
          <cell r="C14">
            <v>696890.98000000056</v>
          </cell>
        </row>
        <row r="15">
          <cell r="B15" t="str">
            <v>Batrawi2</v>
          </cell>
          <cell r="C15">
            <v>872014.26000000117</v>
          </cell>
        </row>
        <row r="16">
          <cell r="B16" t="str">
            <v>Bluepark</v>
          </cell>
          <cell r="C16">
            <v>541093.77000000048</v>
          </cell>
        </row>
        <row r="17">
          <cell r="B17" t="str">
            <v>BUE</v>
          </cell>
          <cell r="C17">
            <v>611336</v>
          </cell>
        </row>
        <row r="18">
          <cell r="B18" t="str">
            <v>CFC</v>
          </cell>
          <cell r="C18">
            <v>5986546.8699999321</v>
          </cell>
        </row>
        <row r="19">
          <cell r="B19" t="str">
            <v>ChampsElysees</v>
          </cell>
          <cell r="C19">
            <v>315372.12</v>
          </cell>
        </row>
        <row r="20">
          <cell r="B20" t="str">
            <v>CHILL2</v>
          </cell>
          <cell r="C20">
            <v>4551807.8599999957</v>
          </cell>
        </row>
        <row r="21">
          <cell r="B21" t="str">
            <v>Chillout_ElHorya</v>
          </cell>
          <cell r="C21">
            <v>2742692.09</v>
          </cell>
        </row>
        <row r="22">
          <cell r="B22" t="str">
            <v>Chillout_Sharm</v>
          </cell>
          <cell r="C22">
            <v>1063043.1900000009</v>
          </cell>
        </row>
        <row r="23">
          <cell r="B23" t="str">
            <v>Chillout_Tayaran</v>
          </cell>
          <cell r="C23">
            <v>1005618.0000000007</v>
          </cell>
        </row>
        <row r="24">
          <cell r="B24" t="str">
            <v>CITYSCAPE</v>
          </cell>
          <cell r="C24">
            <v>453683.02</v>
          </cell>
        </row>
        <row r="25">
          <cell r="B25" t="str">
            <v>Damietta2</v>
          </cell>
          <cell r="C25">
            <v>2180738.4000000004</v>
          </cell>
        </row>
        <row r="26">
          <cell r="B26" t="str">
            <v>Dokki</v>
          </cell>
          <cell r="C26">
            <v>1260892.0000000007</v>
          </cell>
        </row>
        <row r="27">
          <cell r="B27" t="str">
            <v>Dolphin</v>
          </cell>
          <cell r="C27">
            <v>2238845.689999993</v>
          </cell>
        </row>
        <row r="28">
          <cell r="B28" t="str">
            <v>Dunes</v>
          </cell>
          <cell r="C28">
            <v>2314631.6000000006</v>
          </cell>
        </row>
        <row r="29">
          <cell r="B29" t="str">
            <v>ElGabakhana</v>
          </cell>
          <cell r="C29">
            <v>2677867.8100000005</v>
          </cell>
        </row>
        <row r="30">
          <cell r="B30" t="str">
            <v>ELMAX</v>
          </cell>
          <cell r="C30">
            <v>710471.02000000095</v>
          </cell>
        </row>
        <row r="31">
          <cell r="B31" t="str">
            <v>Elnahas2</v>
          </cell>
          <cell r="C31">
            <v>977899.21000000299</v>
          </cell>
        </row>
        <row r="32">
          <cell r="B32" t="str">
            <v>ElObour1</v>
          </cell>
          <cell r="C32">
            <v>2503734</v>
          </cell>
        </row>
        <row r="33">
          <cell r="B33" t="str">
            <v>Elsanhoury1</v>
          </cell>
          <cell r="C33">
            <v>594696.1800000011</v>
          </cell>
        </row>
        <row r="34">
          <cell r="B34" t="str">
            <v>Elsanhoury2</v>
          </cell>
          <cell r="C34">
            <v>392234.26000000013</v>
          </cell>
        </row>
        <row r="35">
          <cell r="B35" t="str">
            <v>Elshams</v>
          </cell>
          <cell r="C35">
            <v>821797.60000000044</v>
          </cell>
        </row>
        <row r="36">
          <cell r="B36" t="str">
            <v>G7</v>
          </cell>
          <cell r="C36">
            <v>1198732.2000000007</v>
          </cell>
        </row>
        <row r="37">
          <cell r="B37" t="str">
            <v>Gesr</v>
          </cell>
          <cell r="C37">
            <v>1247353.1000000001</v>
          </cell>
        </row>
        <row r="38">
          <cell r="B38" t="str">
            <v>Hegaz</v>
          </cell>
          <cell r="C38">
            <v>3437293</v>
          </cell>
        </row>
        <row r="39">
          <cell r="B39" t="str">
            <v>Heliopolis</v>
          </cell>
          <cell r="C39">
            <v>580114.09000000008</v>
          </cell>
        </row>
        <row r="40">
          <cell r="B40" t="str">
            <v>ISMAILIA_GATE</v>
          </cell>
          <cell r="C40">
            <v>2238091.0700000003</v>
          </cell>
        </row>
        <row r="41">
          <cell r="B41" t="str">
            <v>Ismailia_Gate2</v>
          </cell>
          <cell r="C41">
            <v>4475863.1899999995</v>
          </cell>
        </row>
        <row r="42">
          <cell r="B42" t="str">
            <v>Jehan</v>
          </cell>
          <cell r="C42">
            <v>1876568.3400000008</v>
          </cell>
        </row>
        <row r="43">
          <cell r="B43" t="str">
            <v>Josip</v>
          </cell>
          <cell r="C43">
            <v>1187709.5900000003</v>
          </cell>
        </row>
        <row r="44">
          <cell r="B44" t="str">
            <v>K21</v>
          </cell>
          <cell r="C44">
            <v>2257677.2000000002</v>
          </cell>
        </row>
        <row r="45">
          <cell r="B45" t="str">
            <v>K23</v>
          </cell>
          <cell r="C45">
            <v>1066403.45</v>
          </cell>
        </row>
        <row r="46">
          <cell r="B46" t="str">
            <v>K27</v>
          </cell>
          <cell r="C46">
            <v>843286.40000000037</v>
          </cell>
        </row>
        <row r="47">
          <cell r="B47" t="str">
            <v>K38</v>
          </cell>
          <cell r="C47">
            <v>2366166.6</v>
          </cell>
        </row>
        <row r="48">
          <cell r="B48" t="str">
            <v>Kafr2</v>
          </cell>
          <cell r="C48">
            <v>1230347.2000000002</v>
          </cell>
        </row>
        <row r="49">
          <cell r="B49" t="str">
            <v>Kafrawy</v>
          </cell>
          <cell r="C49">
            <v>1260534.1100000017</v>
          </cell>
        </row>
        <row r="50">
          <cell r="B50" t="str">
            <v>Kafrawy2</v>
          </cell>
          <cell r="C50">
            <v>1646064</v>
          </cell>
        </row>
        <row r="51">
          <cell r="B51" t="str">
            <v>KERSH</v>
          </cell>
          <cell r="C51">
            <v>1391032</v>
          </cell>
        </row>
        <row r="52">
          <cell r="B52" t="str">
            <v>M3Morah</v>
          </cell>
          <cell r="C52">
            <v>561558.14000000013</v>
          </cell>
        </row>
        <row r="53">
          <cell r="B53" t="str">
            <v>Maadimobil</v>
          </cell>
          <cell r="C53">
            <v>3820209.3799999827</v>
          </cell>
        </row>
        <row r="54">
          <cell r="B54" t="str">
            <v>Madinaty_Strip</v>
          </cell>
          <cell r="C54">
            <v>666948</v>
          </cell>
        </row>
        <row r="55">
          <cell r="B55" t="str">
            <v>MADINTY1</v>
          </cell>
          <cell r="C55">
            <v>1625553</v>
          </cell>
        </row>
        <row r="56">
          <cell r="B56" t="str">
            <v>MADINTY2</v>
          </cell>
          <cell r="C56">
            <v>653448</v>
          </cell>
        </row>
        <row r="57">
          <cell r="B57" t="str">
            <v>MADINTY3</v>
          </cell>
          <cell r="C57">
            <v>569325</v>
          </cell>
        </row>
        <row r="58">
          <cell r="B58" t="str">
            <v>Marina_Walk</v>
          </cell>
          <cell r="C58">
            <v>420702</v>
          </cell>
        </row>
        <row r="59">
          <cell r="B59" t="str">
            <v>MERGHANY</v>
          </cell>
          <cell r="C59">
            <v>371823.06000000006</v>
          </cell>
        </row>
        <row r="60">
          <cell r="B60" t="str">
            <v>Midor</v>
          </cell>
          <cell r="C60">
            <v>7311907.2099999841</v>
          </cell>
        </row>
        <row r="61">
          <cell r="B61" t="str">
            <v>MidTown</v>
          </cell>
          <cell r="C61">
            <v>785299.2</v>
          </cell>
        </row>
        <row r="62">
          <cell r="B62" t="str">
            <v>MoharamBek</v>
          </cell>
          <cell r="C62">
            <v>3416644.4599999925</v>
          </cell>
        </row>
        <row r="63">
          <cell r="B63" t="str">
            <v>Nakheel</v>
          </cell>
          <cell r="C63">
            <v>3802872</v>
          </cell>
        </row>
        <row r="64">
          <cell r="B64" t="str">
            <v>NewCapital</v>
          </cell>
          <cell r="C64">
            <v>1353127</v>
          </cell>
        </row>
        <row r="65">
          <cell r="B65" t="str">
            <v>NewDamietta</v>
          </cell>
          <cell r="C65">
            <v>3054809.3900000006</v>
          </cell>
        </row>
        <row r="66">
          <cell r="B66" t="str">
            <v>NOBARIA</v>
          </cell>
          <cell r="C66">
            <v>3961979.2</v>
          </cell>
        </row>
        <row r="67">
          <cell r="B67" t="str">
            <v>Pgardens</v>
          </cell>
          <cell r="C67">
            <v>4871148.5999999903</v>
          </cell>
        </row>
        <row r="68">
          <cell r="B68" t="str">
            <v>Police_Academy</v>
          </cell>
          <cell r="C68">
            <v>933222</v>
          </cell>
        </row>
        <row r="69">
          <cell r="B69" t="str">
            <v>Sadat</v>
          </cell>
          <cell r="C69">
            <v>4287353.6499999929</v>
          </cell>
        </row>
        <row r="70">
          <cell r="B70" t="str">
            <v>Shazly</v>
          </cell>
          <cell r="C70">
            <v>2698669.2</v>
          </cell>
        </row>
        <row r="71">
          <cell r="B71" t="str">
            <v>Sheraton</v>
          </cell>
          <cell r="C71">
            <v>1659916.5000000005</v>
          </cell>
        </row>
        <row r="72">
          <cell r="B72" t="str">
            <v>Sheraton walk</v>
          </cell>
          <cell r="C72">
            <v>1357415.100000002</v>
          </cell>
        </row>
        <row r="73">
          <cell r="B73" t="str">
            <v>Sheraton_Stirp</v>
          </cell>
          <cell r="C73">
            <v>677604.23000000103</v>
          </cell>
        </row>
        <row r="74">
          <cell r="B74" t="str">
            <v>Shinzo1</v>
          </cell>
          <cell r="C74">
            <v>3073323.1999999997</v>
          </cell>
        </row>
        <row r="75">
          <cell r="B75" t="str">
            <v>Shinzo2</v>
          </cell>
          <cell r="C75">
            <v>1011012.05</v>
          </cell>
        </row>
        <row r="76">
          <cell r="B76" t="str">
            <v>Shinzo3</v>
          </cell>
          <cell r="C76">
            <v>619303.19999999995</v>
          </cell>
        </row>
        <row r="77">
          <cell r="B77" t="str">
            <v>Smart</v>
          </cell>
          <cell r="C77">
            <v>1457841.6</v>
          </cell>
        </row>
        <row r="78">
          <cell r="B78" t="str">
            <v>Sodic_WMC</v>
          </cell>
          <cell r="C78">
            <v>2010717.9300000018</v>
          </cell>
        </row>
        <row r="79">
          <cell r="B79" t="str">
            <v>SuperJet</v>
          </cell>
          <cell r="C79">
            <v>1641487</v>
          </cell>
        </row>
        <row r="80">
          <cell r="B80" t="str">
            <v>TahiaMIsr2</v>
          </cell>
          <cell r="C80">
            <v>1991498.8100000017</v>
          </cell>
        </row>
        <row r="81">
          <cell r="B81" t="str">
            <v>Tanta</v>
          </cell>
          <cell r="C81">
            <v>1404276.6300000006</v>
          </cell>
        </row>
        <row r="82">
          <cell r="B82" t="str">
            <v>TenthOfRamadan</v>
          </cell>
          <cell r="C82">
            <v>1022746.58</v>
          </cell>
        </row>
        <row r="83">
          <cell r="B83" t="str">
            <v>TRUMPH</v>
          </cell>
          <cell r="C83">
            <v>5522649</v>
          </cell>
        </row>
        <row r="84">
          <cell r="B84" t="str">
            <v>UH</v>
          </cell>
          <cell r="C84">
            <v>964064.12000000011</v>
          </cell>
        </row>
        <row r="85">
          <cell r="B85" t="str">
            <v>UH_HUB</v>
          </cell>
          <cell r="C85">
            <v>10769</v>
          </cell>
        </row>
        <row r="86">
          <cell r="B86" t="str">
            <v>UPTOWN</v>
          </cell>
          <cell r="C86">
            <v>1191090.0900000001</v>
          </cell>
        </row>
        <row r="87">
          <cell r="B87" t="str">
            <v>WAHA2</v>
          </cell>
          <cell r="C87">
            <v>1822729.1</v>
          </cell>
        </row>
        <row r="88">
          <cell r="B88" t="str">
            <v>WAHA-CITY</v>
          </cell>
          <cell r="C88">
            <v>1081508.76</v>
          </cell>
        </row>
        <row r="89">
          <cell r="B89" t="str">
            <v>Zamalek_MP</v>
          </cell>
          <cell r="C89">
            <v>1533781.24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2">
          <cell r="B2" t="str">
            <v>Adeer</v>
          </cell>
          <cell r="C2">
            <v>336848</v>
          </cell>
        </row>
        <row r="3">
          <cell r="B3" t="str">
            <v>AIRPORT</v>
          </cell>
          <cell r="C3">
            <v>1936676</v>
          </cell>
        </row>
        <row r="4">
          <cell r="B4" t="str">
            <v>AlAhly1</v>
          </cell>
          <cell r="C4">
            <v>779192</v>
          </cell>
        </row>
        <row r="5">
          <cell r="B5" t="str">
            <v>Alahly2</v>
          </cell>
          <cell r="C5">
            <v>831457</v>
          </cell>
        </row>
        <row r="6">
          <cell r="B6" t="str">
            <v>Alamein3</v>
          </cell>
          <cell r="C6">
            <v>1190594</v>
          </cell>
        </row>
        <row r="7">
          <cell r="B7" t="str">
            <v>Alex_Gate</v>
          </cell>
          <cell r="C7">
            <v>1985393</v>
          </cell>
        </row>
        <row r="8">
          <cell r="B8" t="str">
            <v>AL-REHAB</v>
          </cell>
          <cell r="C8">
            <v>5713409</v>
          </cell>
        </row>
        <row r="9">
          <cell r="B9" t="str">
            <v>AL-SHAHID1</v>
          </cell>
          <cell r="C9">
            <v>4127256</v>
          </cell>
        </row>
        <row r="10">
          <cell r="B10" t="str">
            <v>AL-SHAHID2</v>
          </cell>
          <cell r="C10">
            <v>1788560</v>
          </cell>
        </row>
        <row r="11">
          <cell r="B11" t="str">
            <v>AlShorouk</v>
          </cell>
          <cell r="C11">
            <v>2007521.4800000004</v>
          </cell>
        </row>
        <row r="12">
          <cell r="B12" t="str">
            <v>Assuit2</v>
          </cell>
          <cell r="C12">
            <v>620195</v>
          </cell>
        </row>
        <row r="13">
          <cell r="B13" t="str">
            <v>AUC</v>
          </cell>
          <cell r="C13">
            <v>2837091</v>
          </cell>
        </row>
        <row r="14">
          <cell r="B14" t="str">
            <v>Batrawi1</v>
          </cell>
          <cell r="C14">
            <v>667090</v>
          </cell>
        </row>
        <row r="15">
          <cell r="B15" t="str">
            <v>Batrawi2</v>
          </cell>
          <cell r="C15">
            <v>809788</v>
          </cell>
        </row>
        <row r="16">
          <cell r="B16" t="str">
            <v>Bluepark</v>
          </cell>
          <cell r="C16">
            <v>536433</v>
          </cell>
        </row>
        <row r="17">
          <cell r="B17" t="str">
            <v>BUE</v>
          </cell>
          <cell r="C17">
            <v>522279</v>
          </cell>
        </row>
        <row r="18">
          <cell r="B18" t="str">
            <v>CFC</v>
          </cell>
          <cell r="C18">
            <v>5878381</v>
          </cell>
        </row>
        <row r="19">
          <cell r="B19" t="str">
            <v>ChampsElysees</v>
          </cell>
          <cell r="C19">
            <v>340378</v>
          </cell>
        </row>
        <row r="20">
          <cell r="B20" t="str">
            <v>CHILL2</v>
          </cell>
          <cell r="C20">
            <v>4159877</v>
          </cell>
        </row>
        <row r="21">
          <cell r="B21" t="str">
            <v>Chillout_ElHorya</v>
          </cell>
          <cell r="C21">
            <v>2557652</v>
          </cell>
        </row>
        <row r="22">
          <cell r="B22" t="str">
            <v>Chillout_Sharm</v>
          </cell>
          <cell r="C22">
            <v>864809</v>
          </cell>
        </row>
        <row r="23">
          <cell r="B23" t="str">
            <v>Chillout_Tayaran</v>
          </cell>
          <cell r="C23">
            <v>966120</v>
          </cell>
        </row>
        <row r="24">
          <cell r="B24" t="str">
            <v>CITYSCAPE</v>
          </cell>
          <cell r="C24">
            <v>483034.02</v>
          </cell>
        </row>
        <row r="25">
          <cell r="B25" t="str">
            <v>Damietta2</v>
          </cell>
          <cell r="C25">
            <v>2031976</v>
          </cell>
        </row>
        <row r="26">
          <cell r="B26" t="str">
            <v>Dokki</v>
          </cell>
          <cell r="C26">
            <v>894414</v>
          </cell>
        </row>
        <row r="27">
          <cell r="B27" t="str">
            <v>Dolphin</v>
          </cell>
          <cell r="C27">
            <v>2138758</v>
          </cell>
        </row>
        <row r="28">
          <cell r="B28" t="str">
            <v>Dunes</v>
          </cell>
          <cell r="C28">
            <v>2188011</v>
          </cell>
        </row>
        <row r="29">
          <cell r="B29" t="str">
            <v>ElGabakhana</v>
          </cell>
          <cell r="C29">
            <v>2471914</v>
          </cell>
        </row>
        <row r="30">
          <cell r="B30" t="str">
            <v>ELMAX</v>
          </cell>
          <cell r="C30">
            <v>663020</v>
          </cell>
        </row>
        <row r="31">
          <cell r="B31" t="str">
            <v>Elnahas2</v>
          </cell>
          <cell r="C31">
            <v>860439</v>
          </cell>
        </row>
        <row r="32">
          <cell r="B32" t="str">
            <v>ElObour1</v>
          </cell>
          <cell r="C32">
            <v>2529608</v>
          </cell>
        </row>
        <row r="33">
          <cell r="B33" t="str">
            <v>Elsanhoury1</v>
          </cell>
          <cell r="C33">
            <v>530552</v>
          </cell>
        </row>
        <row r="34">
          <cell r="B34" t="str">
            <v>Elsanhoury2</v>
          </cell>
          <cell r="C34">
            <v>338896</v>
          </cell>
        </row>
        <row r="35">
          <cell r="B35" t="str">
            <v>Elshams</v>
          </cell>
          <cell r="C35">
            <v>742752</v>
          </cell>
        </row>
        <row r="36">
          <cell r="B36" t="str">
            <v>G7</v>
          </cell>
          <cell r="C36">
            <v>1100439.2000000002</v>
          </cell>
        </row>
        <row r="37">
          <cell r="B37" t="str">
            <v>Gesr</v>
          </cell>
          <cell r="C37">
            <v>1150327</v>
          </cell>
        </row>
        <row r="38">
          <cell r="B38" t="str">
            <v>Hegaz</v>
          </cell>
          <cell r="C38">
            <v>4586619</v>
          </cell>
        </row>
        <row r="39">
          <cell r="B39" t="str">
            <v>Heliopolis</v>
          </cell>
          <cell r="C39">
            <v>555331</v>
          </cell>
        </row>
        <row r="40">
          <cell r="B40" t="str">
            <v>ISMAILIA_GATE</v>
          </cell>
          <cell r="C40">
            <v>2118998</v>
          </cell>
        </row>
        <row r="41">
          <cell r="B41" t="str">
            <v>Ismailia_Gate2</v>
          </cell>
          <cell r="C41">
            <v>4782810</v>
          </cell>
        </row>
        <row r="42">
          <cell r="B42" t="str">
            <v>Jehan</v>
          </cell>
          <cell r="C42">
            <v>1731710</v>
          </cell>
        </row>
        <row r="43">
          <cell r="B43" t="str">
            <v>Josip</v>
          </cell>
          <cell r="C43">
            <v>1062979</v>
          </cell>
        </row>
        <row r="44">
          <cell r="B44" t="str">
            <v>K21</v>
          </cell>
          <cell r="C44">
            <v>2181977</v>
          </cell>
        </row>
        <row r="45">
          <cell r="B45" t="str">
            <v>K23</v>
          </cell>
          <cell r="C45">
            <v>1124351</v>
          </cell>
        </row>
        <row r="46">
          <cell r="B46" t="str">
            <v>K27</v>
          </cell>
          <cell r="C46">
            <v>767127</v>
          </cell>
        </row>
        <row r="47">
          <cell r="B47" t="str">
            <v>K38</v>
          </cell>
          <cell r="C47">
            <v>1994632</v>
          </cell>
        </row>
        <row r="48">
          <cell r="B48" t="str">
            <v>Kafr2</v>
          </cell>
          <cell r="C48">
            <v>1120951.01</v>
          </cell>
        </row>
        <row r="49">
          <cell r="B49" t="str">
            <v>Kafrawy</v>
          </cell>
          <cell r="C49">
            <v>1216829</v>
          </cell>
        </row>
        <row r="50">
          <cell r="B50" t="str">
            <v>Kafrawy2</v>
          </cell>
          <cell r="C50">
            <v>1455397</v>
          </cell>
        </row>
        <row r="51">
          <cell r="B51" t="str">
            <v>KERSH</v>
          </cell>
          <cell r="C51">
            <v>1446531</v>
          </cell>
        </row>
        <row r="52">
          <cell r="B52" t="str">
            <v>M3Morah</v>
          </cell>
          <cell r="C52">
            <v>506743</v>
          </cell>
        </row>
        <row r="53">
          <cell r="B53" t="str">
            <v>Maadimobil</v>
          </cell>
          <cell r="C53">
            <v>3541983.01</v>
          </cell>
        </row>
        <row r="54">
          <cell r="B54" t="str">
            <v>Madinaty_Strip</v>
          </cell>
          <cell r="C54">
            <v>530893</v>
          </cell>
        </row>
        <row r="55">
          <cell r="B55" t="str">
            <v>MADINTY1</v>
          </cell>
          <cell r="C55">
            <v>1478618</v>
          </cell>
        </row>
        <row r="56">
          <cell r="B56" t="str">
            <v>MADINTY2</v>
          </cell>
          <cell r="C56">
            <v>638181</v>
          </cell>
        </row>
        <row r="57">
          <cell r="B57" t="str">
            <v>MADINTY3</v>
          </cell>
          <cell r="C57">
            <v>600254</v>
          </cell>
        </row>
        <row r="58">
          <cell r="B58" t="str">
            <v>Marina_Walk</v>
          </cell>
          <cell r="C58">
            <v>292031</v>
          </cell>
        </row>
        <row r="59">
          <cell r="B59" t="str">
            <v>MERGHANY</v>
          </cell>
          <cell r="C59">
            <v>385103</v>
          </cell>
        </row>
        <row r="60">
          <cell r="B60" t="str">
            <v>Midor</v>
          </cell>
          <cell r="C60">
            <v>7157574.3499999931</v>
          </cell>
        </row>
        <row r="61">
          <cell r="B61" t="str">
            <v>MidTown</v>
          </cell>
          <cell r="C61">
            <v>732208</v>
          </cell>
        </row>
        <row r="62">
          <cell r="B62" t="str">
            <v>Mivida3</v>
          </cell>
          <cell r="C62">
            <v>855137</v>
          </cell>
        </row>
        <row r="63">
          <cell r="B63" t="str">
            <v>MoharamBek</v>
          </cell>
          <cell r="C63">
            <v>3292403</v>
          </cell>
        </row>
        <row r="64">
          <cell r="B64" t="str">
            <v>Nakheel</v>
          </cell>
          <cell r="C64">
            <v>3398782</v>
          </cell>
        </row>
        <row r="65">
          <cell r="B65" t="str">
            <v>NewCapital</v>
          </cell>
          <cell r="C65">
            <v>1110107</v>
          </cell>
        </row>
        <row r="66">
          <cell r="B66" t="str">
            <v>NewDamietta</v>
          </cell>
          <cell r="C66">
            <v>3016367.1799999969</v>
          </cell>
        </row>
        <row r="67">
          <cell r="B67" t="str">
            <v>NOBARIA</v>
          </cell>
          <cell r="C67">
            <v>3412038</v>
          </cell>
        </row>
        <row r="68">
          <cell r="B68" t="str">
            <v>Pgardens</v>
          </cell>
          <cell r="C68">
            <v>4655754</v>
          </cell>
        </row>
        <row r="69">
          <cell r="B69" t="str">
            <v>Police_Academy</v>
          </cell>
          <cell r="C69">
            <v>813138</v>
          </cell>
        </row>
        <row r="70">
          <cell r="B70" t="str">
            <v>Sadat</v>
          </cell>
          <cell r="C70">
            <v>3998906</v>
          </cell>
        </row>
        <row r="71">
          <cell r="B71" t="str">
            <v>Shazly</v>
          </cell>
          <cell r="C71">
            <v>2243242</v>
          </cell>
        </row>
        <row r="72">
          <cell r="B72" t="str">
            <v>Sheraton</v>
          </cell>
          <cell r="C72">
            <v>1588262</v>
          </cell>
        </row>
        <row r="73">
          <cell r="B73" t="str">
            <v>Sheraton walk</v>
          </cell>
          <cell r="C73">
            <v>1271372</v>
          </cell>
        </row>
        <row r="74">
          <cell r="B74" t="str">
            <v>Sheraton_Stirp</v>
          </cell>
          <cell r="C74">
            <v>655739</v>
          </cell>
        </row>
        <row r="75">
          <cell r="B75" t="str">
            <v>Shinzo1</v>
          </cell>
          <cell r="C75">
            <v>2775784</v>
          </cell>
        </row>
        <row r="76">
          <cell r="B76" t="str">
            <v>Shinzo2</v>
          </cell>
          <cell r="C76">
            <v>893925</v>
          </cell>
        </row>
        <row r="77">
          <cell r="B77" t="str">
            <v>Shinzo3</v>
          </cell>
          <cell r="C77">
            <v>604708</v>
          </cell>
        </row>
        <row r="78">
          <cell r="B78" t="str">
            <v>Smart</v>
          </cell>
          <cell r="C78">
            <v>1360666.0899999999</v>
          </cell>
        </row>
        <row r="79">
          <cell r="B79" t="str">
            <v>Sodic_WMC</v>
          </cell>
          <cell r="C79">
            <v>1767902</v>
          </cell>
        </row>
        <row r="80">
          <cell r="B80" t="str">
            <v>SuperJet</v>
          </cell>
          <cell r="C80">
            <v>1293340</v>
          </cell>
        </row>
        <row r="81">
          <cell r="B81" t="str">
            <v>TahiaMIsr2</v>
          </cell>
          <cell r="C81">
            <v>2013852</v>
          </cell>
        </row>
        <row r="82">
          <cell r="B82" t="str">
            <v>Tanta</v>
          </cell>
          <cell r="C82">
            <v>1302310</v>
          </cell>
        </row>
        <row r="83">
          <cell r="B83" t="str">
            <v>TenthOfRamadan</v>
          </cell>
          <cell r="C83">
            <v>859725</v>
          </cell>
        </row>
        <row r="84">
          <cell r="B84" t="str">
            <v>TRUMPH</v>
          </cell>
          <cell r="C84">
            <v>5196281</v>
          </cell>
        </row>
        <row r="85">
          <cell r="B85" t="str">
            <v>UH</v>
          </cell>
          <cell r="C85">
            <v>924521</v>
          </cell>
        </row>
        <row r="86">
          <cell r="B86" t="str">
            <v>UH_HUB</v>
          </cell>
          <cell r="C86">
            <v>142416</v>
          </cell>
        </row>
        <row r="87">
          <cell r="B87" t="str">
            <v>UPTOWN</v>
          </cell>
          <cell r="C87">
            <v>1133942</v>
          </cell>
        </row>
        <row r="88">
          <cell r="B88" t="str">
            <v>WAHA2</v>
          </cell>
          <cell r="C88">
            <v>1096670</v>
          </cell>
        </row>
        <row r="89">
          <cell r="B89" t="str">
            <v>WAHA-CITY</v>
          </cell>
          <cell r="C89">
            <v>969670</v>
          </cell>
        </row>
        <row r="90">
          <cell r="B90" t="str">
            <v>Zamalek_MP</v>
          </cell>
          <cell r="C90">
            <v>1359972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A1" t="str">
            <v>Branch Name</v>
          </cell>
          <cell r="B1" t="str">
            <v>Total Sales LE</v>
          </cell>
          <cell r="C1" t="str">
            <v>Avg 14 days</v>
          </cell>
          <cell r="D1" t="str">
            <v xml:space="preserve">Dec Total sales </v>
          </cell>
        </row>
        <row r="2">
          <cell r="A2" t="str">
            <v>Nakheel</v>
          </cell>
          <cell r="B2">
            <v>1555015.32</v>
          </cell>
          <cell r="C2">
            <v>111072.52285714286</v>
          </cell>
          <cell r="D2">
            <v>3443248.2085714284</v>
          </cell>
        </row>
        <row r="3">
          <cell r="A3" t="str">
            <v>ISMAILIA_GATE</v>
          </cell>
          <cell r="B3">
            <v>993270</v>
          </cell>
          <cell r="C3">
            <v>70947.857142857145</v>
          </cell>
          <cell r="D3">
            <v>2199383.5714285714</v>
          </cell>
        </row>
        <row r="4">
          <cell r="A4" t="str">
            <v>K27</v>
          </cell>
          <cell r="B4">
            <v>357210.07</v>
          </cell>
          <cell r="C4">
            <v>25515.005000000001</v>
          </cell>
          <cell r="D4">
            <v>790965.15500000003</v>
          </cell>
        </row>
        <row r="5">
          <cell r="A5" t="str">
            <v>Alahly2</v>
          </cell>
          <cell r="B5">
            <v>425096.1</v>
          </cell>
          <cell r="C5">
            <v>30364.007142857143</v>
          </cell>
          <cell r="D5">
            <v>941284.22142857139</v>
          </cell>
        </row>
        <row r="6">
          <cell r="A6" t="str">
            <v>UH_HUB</v>
          </cell>
          <cell r="B6">
            <v>50466</v>
          </cell>
          <cell r="C6">
            <v>3604.7142857142858</v>
          </cell>
          <cell r="D6">
            <v>111746.14285714286</v>
          </cell>
        </row>
        <row r="7">
          <cell r="A7" t="str">
            <v>MADINTY1</v>
          </cell>
          <cell r="B7">
            <v>630768</v>
          </cell>
          <cell r="C7">
            <v>45054.857142857145</v>
          </cell>
          <cell r="D7">
            <v>1396700.5714285716</v>
          </cell>
        </row>
        <row r="8">
          <cell r="A8" t="str">
            <v>MADINTY3</v>
          </cell>
          <cell r="B8">
            <v>238936</v>
          </cell>
          <cell r="C8">
            <v>17066.857142857141</v>
          </cell>
          <cell r="D8">
            <v>529072.57142857136</v>
          </cell>
        </row>
        <row r="9">
          <cell r="A9" t="str">
            <v>Wesal 1</v>
          </cell>
          <cell r="B9">
            <v>522502</v>
          </cell>
          <cell r="C9">
            <v>37321.571428571428</v>
          </cell>
          <cell r="D9">
            <v>1156968.7142857143</v>
          </cell>
        </row>
        <row r="10">
          <cell r="A10" t="str">
            <v>G7</v>
          </cell>
          <cell r="B10">
            <v>469731.7600000003</v>
          </cell>
          <cell r="C10">
            <v>33552.268571428591</v>
          </cell>
          <cell r="D10">
            <v>1040120.3257142863</v>
          </cell>
        </row>
        <row r="11">
          <cell r="A11" t="str">
            <v>AlShorouk</v>
          </cell>
          <cell r="B11">
            <v>880984.9500000003</v>
          </cell>
          <cell r="C11">
            <v>62927.496428571452</v>
          </cell>
          <cell r="D11">
            <v>1950752.3892857151</v>
          </cell>
        </row>
        <row r="12">
          <cell r="A12" t="str">
            <v>AlAhly1</v>
          </cell>
          <cell r="B12">
            <v>346503.45000000013</v>
          </cell>
          <cell r="C12">
            <v>24750.246428571438</v>
          </cell>
          <cell r="D12">
            <v>767257.6392857146</v>
          </cell>
        </row>
        <row r="13">
          <cell r="A13" t="str">
            <v>Dolphin</v>
          </cell>
          <cell r="B13">
            <v>955600.54000000039</v>
          </cell>
          <cell r="C13">
            <v>68257.18142857145</v>
          </cell>
          <cell r="D13">
            <v>2115972.6242857152</v>
          </cell>
        </row>
        <row r="14">
          <cell r="A14" t="str">
            <v>Bluepark</v>
          </cell>
          <cell r="B14">
            <v>267191</v>
          </cell>
          <cell r="C14">
            <v>19085.071428571428</v>
          </cell>
          <cell r="D14">
            <v>591637.2142857142</v>
          </cell>
        </row>
        <row r="15">
          <cell r="A15" t="str">
            <v>Sheraton</v>
          </cell>
          <cell r="B15">
            <v>770909.50000000035</v>
          </cell>
          <cell r="C15">
            <v>55064.964285714312</v>
          </cell>
          <cell r="D15">
            <v>1707013.8928571437</v>
          </cell>
        </row>
        <row r="16">
          <cell r="A16" t="str">
            <v>Jehan</v>
          </cell>
          <cell r="B16">
            <v>709565</v>
          </cell>
          <cell r="C16">
            <v>50683.214285714283</v>
          </cell>
          <cell r="D16">
            <v>1571179.6428571427</v>
          </cell>
        </row>
        <row r="17">
          <cell r="A17" t="str">
            <v>Alamein3</v>
          </cell>
          <cell r="B17">
            <v>555153.05000000005</v>
          </cell>
          <cell r="C17">
            <v>39653.789285714287</v>
          </cell>
          <cell r="D17">
            <v>1229267.4678571429</v>
          </cell>
        </row>
        <row r="18">
          <cell r="A18" t="str">
            <v>WAHA-CITY</v>
          </cell>
          <cell r="B18">
            <v>455527.75000000017</v>
          </cell>
          <cell r="C18">
            <v>32537.696428571442</v>
          </cell>
          <cell r="D18">
            <v>1008668.5892857147</v>
          </cell>
        </row>
        <row r="19">
          <cell r="A19" t="str">
            <v>Alex_Gate</v>
          </cell>
          <cell r="B19">
            <v>868128.6</v>
          </cell>
          <cell r="C19">
            <v>62009.185714285712</v>
          </cell>
          <cell r="D19">
            <v>1922284.7571428569</v>
          </cell>
        </row>
        <row r="20">
          <cell r="A20" t="str">
            <v>Dokki</v>
          </cell>
          <cell r="B20">
            <v>497013</v>
          </cell>
          <cell r="C20">
            <v>35500.928571428572</v>
          </cell>
          <cell r="D20">
            <v>1100528.7857142857</v>
          </cell>
        </row>
        <row r="21">
          <cell r="A21" t="str">
            <v>TRUMPH</v>
          </cell>
          <cell r="B21">
            <v>2472460</v>
          </cell>
          <cell r="C21">
            <v>176604.28571428571</v>
          </cell>
          <cell r="D21">
            <v>5474732.8571428573</v>
          </cell>
        </row>
        <row r="22">
          <cell r="A22" t="str">
            <v>Chillout_ElHorya</v>
          </cell>
          <cell r="B22">
            <v>1209106.4000000001</v>
          </cell>
          <cell r="C22">
            <v>86364.742857142861</v>
          </cell>
          <cell r="D22">
            <v>2677307.0285714287</v>
          </cell>
        </row>
        <row r="23">
          <cell r="A23" t="str">
            <v>Ismailia_Gate2</v>
          </cell>
          <cell r="B23">
            <v>1507896.2800000003</v>
          </cell>
          <cell r="C23">
            <v>107706.87714285716</v>
          </cell>
          <cell r="D23">
            <v>3338913.1914285719</v>
          </cell>
        </row>
        <row r="24">
          <cell r="A24" t="str">
            <v>Sheraton walk</v>
          </cell>
          <cell r="B24">
            <v>552652.13000000012</v>
          </cell>
          <cell r="C24">
            <v>39475.15214285715</v>
          </cell>
          <cell r="D24">
            <v>1223729.7164285716</v>
          </cell>
        </row>
        <row r="25">
          <cell r="A25" t="str">
            <v>UH</v>
          </cell>
          <cell r="B25">
            <v>388277</v>
          </cell>
          <cell r="C25">
            <v>27734.071428571428</v>
          </cell>
          <cell r="D25">
            <v>859756.2142857142</v>
          </cell>
        </row>
        <row r="26">
          <cell r="A26" t="str">
            <v>Gesr</v>
          </cell>
          <cell r="B26">
            <v>507606</v>
          </cell>
          <cell r="C26">
            <v>36257.571428571428</v>
          </cell>
          <cell r="D26">
            <v>1123984.7142857143</v>
          </cell>
        </row>
        <row r="27">
          <cell r="A27" t="str">
            <v>Josip</v>
          </cell>
          <cell r="B27">
            <v>551511.89999999991</v>
          </cell>
          <cell r="C27">
            <v>39393.707142857136</v>
          </cell>
          <cell r="D27">
            <v>1221204.9214285712</v>
          </cell>
        </row>
        <row r="28">
          <cell r="A28" t="str">
            <v>ElGabakhana</v>
          </cell>
          <cell r="B28">
            <v>1261929.290000001</v>
          </cell>
          <cell r="C28">
            <v>90137.806428571494</v>
          </cell>
          <cell r="D28">
            <v>2794271.9992857161</v>
          </cell>
        </row>
        <row r="29">
          <cell r="A29" t="str">
            <v>Police_Academy</v>
          </cell>
          <cell r="B29">
            <v>350088</v>
          </cell>
          <cell r="C29">
            <v>25006.285714285714</v>
          </cell>
          <cell r="D29">
            <v>775194.85714285716</v>
          </cell>
        </row>
        <row r="30">
          <cell r="A30" t="str">
            <v>Adeer</v>
          </cell>
          <cell r="B30">
            <v>148266.10999999999</v>
          </cell>
          <cell r="C30">
            <v>10590.436428571427</v>
          </cell>
          <cell r="D30">
            <v>328303.52928571426</v>
          </cell>
        </row>
        <row r="31">
          <cell r="A31" t="str">
            <v>CHILL2</v>
          </cell>
          <cell r="B31">
            <v>1995049.2300000002</v>
          </cell>
          <cell r="C31">
            <v>142503.51642857146</v>
          </cell>
          <cell r="D31">
            <v>4417609.0092857154</v>
          </cell>
        </row>
        <row r="32">
          <cell r="A32" t="str">
            <v>MidTown</v>
          </cell>
          <cell r="B32">
            <v>366818.14</v>
          </cell>
          <cell r="C32">
            <v>26201.295714285716</v>
          </cell>
          <cell r="D32">
            <v>812240.16714285722</v>
          </cell>
        </row>
        <row r="33">
          <cell r="A33" t="str">
            <v>Shazly</v>
          </cell>
          <cell r="B33">
            <v>1071720</v>
          </cell>
          <cell r="C33">
            <v>76551.428571428565</v>
          </cell>
          <cell r="D33">
            <v>2373094.2857142854</v>
          </cell>
        </row>
        <row r="34">
          <cell r="A34" t="str">
            <v>AL-REHAB</v>
          </cell>
          <cell r="B34">
            <v>2597843.4799999991</v>
          </cell>
          <cell r="C34">
            <v>185560.2485714285</v>
          </cell>
          <cell r="D34">
            <v>5752367.7057142835</v>
          </cell>
        </row>
        <row r="35">
          <cell r="A35" t="str">
            <v>Zamalek_MP</v>
          </cell>
          <cell r="B35">
            <v>638103</v>
          </cell>
          <cell r="C35">
            <v>45578.785714285717</v>
          </cell>
          <cell r="D35">
            <v>1412942.3571428573</v>
          </cell>
        </row>
        <row r="36">
          <cell r="A36" t="str">
            <v>Batrawi1</v>
          </cell>
          <cell r="B36">
            <v>290468.62000000011</v>
          </cell>
          <cell r="C36">
            <v>20747.758571428578</v>
          </cell>
          <cell r="D36">
            <v>643180.5157142859</v>
          </cell>
        </row>
        <row r="37">
          <cell r="A37" t="str">
            <v>Midor</v>
          </cell>
          <cell r="B37">
            <v>3526197.5799999959</v>
          </cell>
          <cell r="C37">
            <v>251871.25571428542</v>
          </cell>
          <cell r="D37">
            <v>7808008.9271428483</v>
          </cell>
        </row>
        <row r="38">
          <cell r="A38" t="str">
            <v>Sadat</v>
          </cell>
          <cell r="B38">
            <v>1772886.4100000004</v>
          </cell>
          <cell r="C38">
            <v>126634.7435714286</v>
          </cell>
          <cell r="D38">
            <v>3925677.0507142865</v>
          </cell>
        </row>
        <row r="39">
          <cell r="A39" t="str">
            <v>Elnahas2</v>
          </cell>
          <cell r="B39">
            <v>404929.18000000011</v>
          </cell>
          <cell r="C39">
            <v>28923.512857142865</v>
          </cell>
          <cell r="D39">
            <v>896628.89857142884</v>
          </cell>
        </row>
        <row r="40">
          <cell r="A40" t="str">
            <v>NewCapital</v>
          </cell>
          <cell r="B40">
            <v>523349</v>
          </cell>
          <cell r="C40">
            <v>37382.071428571428</v>
          </cell>
          <cell r="D40">
            <v>1158844.2142857143</v>
          </cell>
        </row>
        <row r="41">
          <cell r="A41" t="str">
            <v>MERGHANY</v>
          </cell>
          <cell r="B41">
            <v>239472</v>
          </cell>
          <cell r="C41">
            <v>17105.142857142859</v>
          </cell>
          <cell r="D41">
            <v>530259.42857142864</v>
          </cell>
        </row>
        <row r="42">
          <cell r="A42" t="str">
            <v>Chillout_Sharm</v>
          </cell>
          <cell r="B42">
            <v>407095.73000000021</v>
          </cell>
          <cell r="C42">
            <v>29078.266428571445</v>
          </cell>
          <cell r="D42">
            <v>901426.25928571483</v>
          </cell>
        </row>
        <row r="43">
          <cell r="A43" t="str">
            <v>Shinzo1</v>
          </cell>
          <cell r="B43">
            <v>934681</v>
          </cell>
          <cell r="C43">
            <v>66762.928571428565</v>
          </cell>
          <cell r="D43">
            <v>2069650.7857142854</v>
          </cell>
        </row>
        <row r="44">
          <cell r="A44" t="str">
            <v>Maadimobil</v>
          </cell>
          <cell r="B44">
            <v>1545403.09</v>
          </cell>
          <cell r="C44">
            <v>110385.93500000001</v>
          </cell>
          <cell r="D44">
            <v>3421963.9850000003</v>
          </cell>
        </row>
        <row r="45">
          <cell r="A45" t="str">
            <v>Elshams</v>
          </cell>
          <cell r="B45">
            <v>369237.14</v>
          </cell>
          <cell r="C45">
            <v>26374.08142857143</v>
          </cell>
          <cell r="D45">
            <v>817596.52428571437</v>
          </cell>
        </row>
        <row r="46">
          <cell r="A46" t="str">
            <v>ELMAX</v>
          </cell>
          <cell r="B46">
            <v>309493</v>
          </cell>
          <cell r="C46">
            <v>22106.642857142859</v>
          </cell>
          <cell r="D46">
            <v>685305.92857142864</v>
          </cell>
        </row>
        <row r="47">
          <cell r="A47" t="str">
            <v>KERSH</v>
          </cell>
          <cell r="B47">
            <v>712174</v>
          </cell>
          <cell r="C47">
            <v>50869.571428571428</v>
          </cell>
          <cell r="D47">
            <v>1576956.7142857143</v>
          </cell>
        </row>
        <row r="48">
          <cell r="A48" t="str">
            <v>AL-SHAHID1</v>
          </cell>
          <cell r="B48">
            <v>1867516.2800000003</v>
          </cell>
          <cell r="C48">
            <v>133394.02000000002</v>
          </cell>
          <cell r="D48">
            <v>4135214.6200000006</v>
          </cell>
        </row>
        <row r="49">
          <cell r="A49" t="str">
            <v>Kafrawy</v>
          </cell>
          <cell r="B49">
            <v>546125</v>
          </cell>
          <cell r="C49">
            <v>39008.928571428572</v>
          </cell>
          <cell r="D49">
            <v>1209276.7857142857</v>
          </cell>
        </row>
        <row r="50">
          <cell r="A50" t="str">
            <v>CITYSCAPE</v>
          </cell>
          <cell r="B50">
            <v>239304.11000000004</v>
          </cell>
          <cell r="C50">
            <v>17093.150714285719</v>
          </cell>
          <cell r="D50">
            <v>529887.67214285734</v>
          </cell>
        </row>
        <row r="51">
          <cell r="A51" t="str">
            <v>CFC</v>
          </cell>
          <cell r="B51">
            <v>2713769.2399999932</v>
          </cell>
          <cell r="C51">
            <v>193840.65999999951</v>
          </cell>
          <cell r="D51">
            <v>6009060.4599999851</v>
          </cell>
        </row>
        <row r="52">
          <cell r="A52" t="str">
            <v>SuperJet</v>
          </cell>
          <cell r="B52">
            <v>676971.20000000007</v>
          </cell>
          <cell r="C52">
            <v>48355.08571428572</v>
          </cell>
          <cell r="D52">
            <v>1499007.6571428573</v>
          </cell>
        </row>
        <row r="53">
          <cell r="A53" t="str">
            <v>Sheraton_Stirp</v>
          </cell>
          <cell r="B53">
            <v>300650</v>
          </cell>
          <cell r="C53">
            <v>21475</v>
          </cell>
          <cell r="D53">
            <v>665725</v>
          </cell>
        </row>
        <row r="54">
          <cell r="A54" t="str">
            <v>BUE</v>
          </cell>
          <cell r="B54">
            <v>181154</v>
          </cell>
          <cell r="C54">
            <v>12939.571428571429</v>
          </cell>
          <cell r="D54">
            <v>401126.71428571432</v>
          </cell>
        </row>
        <row r="55">
          <cell r="A55" t="str">
            <v>AUC</v>
          </cell>
          <cell r="B55">
            <v>1375632</v>
          </cell>
          <cell r="C55">
            <v>98259.428571428565</v>
          </cell>
          <cell r="D55">
            <v>3046042.2857142854</v>
          </cell>
        </row>
        <row r="56">
          <cell r="A56" t="str">
            <v>Chillout_Tayaran</v>
          </cell>
          <cell r="B56">
            <v>417468</v>
          </cell>
          <cell r="C56">
            <v>29819.142857142859</v>
          </cell>
          <cell r="D56">
            <v>924393.42857142864</v>
          </cell>
        </row>
        <row r="57">
          <cell r="A57" t="str">
            <v>K23</v>
          </cell>
          <cell r="B57">
            <v>552520</v>
          </cell>
          <cell r="C57">
            <v>39465.714285714283</v>
          </cell>
          <cell r="D57">
            <v>1223437.1428571427</v>
          </cell>
        </row>
        <row r="58">
          <cell r="A58" t="str">
            <v>MoharamBek</v>
          </cell>
          <cell r="B58">
            <v>1566829.5</v>
          </cell>
          <cell r="C58">
            <v>111916.39285714286</v>
          </cell>
          <cell r="D58">
            <v>3469408.1785714286</v>
          </cell>
        </row>
        <row r="59">
          <cell r="A59" t="str">
            <v>Kafrawy2</v>
          </cell>
          <cell r="B59">
            <v>675573</v>
          </cell>
          <cell r="C59">
            <v>48255.214285714283</v>
          </cell>
          <cell r="D59">
            <v>1495911.6428571427</v>
          </cell>
        </row>
        <row r="60">
          <cell r="A60" t="str">
            <v>Tanta</v>
          </cell>
          <cell r="B60">
            <v>526121.04</v>
          </cell>
          <cell r="C60">
            <v>37580.07428571429</v>
          </cell>
          <cell r="D60">
            <v>1164982.3028571431</v>
          </cell>
        </row>
        <row r="61">
          <cell r="A61" t="str">
            <v>Heliopolis</v>
          </cell>
          <cell r="B61">
            <v>259677.02000000002</v>
          </cell>
          <cell r="C61">
            <v>18548.358571428573</v>
          </cell>
          <cell r="D61">
            <v>574999.11571428576</v>
          </cell>
        </row>
        <row r="62">
          <cell r="A62" t="str">
            <v>WAHA2</v>
          </cell>
          <cell r="B62">
            <v>357566</v>
          </cell>
          <cell r="C62">
            <v>25540.428571428572</v>
          </cell>
          <cell r="D62">
            <v>791753.2857142858</v>
          </cell>
        </row>
        <row r="63">
          <cell r="A63" t="str">
            <v>Dunes</v>
          </cell>
          <cell r="B63">
            <v>1088656.3000000003</v>
          </cell>
          <cell r="C63">
            <v>77761.164285714302</v>
          </cell>
          <cell r="D63">
            <v>2410596.0928571434</v>
          </cell>
        </row>
        <row r="64">
          <cell r="A64" t="str">
            <v>Damietta2</v>
          </cell>
          <cell r="B64">
            <v>897255.69000000029</v>
          </cell>
          <cell r="C64">
            <v>64089.692142857166</v>
          </cell>
          <cell r="D64">
            <v>1986780.4564285721</v>
          </cell>
        </row>
        <row r="65">
          <cell r="A65" t="str">
            <v>Smart</v>
          </cell>
          <cell r="B65">
            <v>690859.25</v>
          </cell>
          <cell r="C65">
            <v>49347.089285714283</v>
          </cell>
          <cell r="D65">
            <v>1529759.7678571427</v>
          </cell>
        </row>
        <row r="66">
          <cell r="A66" t="str">
            <v>Assuit2</v>
          </cell>
          <cell r="B66">
            <v>270461</v>
          </cell>
          <cell r="C66">
            <v>19318.642857142859</v>
          </cell>
          <cell r="D66">
            <v>598877.92857142864</v>
          </cell>
        </row>
        <row r="67">
          <cell r="A67" t="str">
            <v>ChampsElysees</v>
          </cell>
          <cell r="B67">
            <v>147819</v>
          </cell>
          <cell r="C67">
            <v>10558.5</v>
          </cell>
          <cell r="D67">
            <v>327313.5</v>
          </cell>
        </row>
        <row r="68">
          <cell r="A68" t="str">
            <v>Pgardens</v>
          </cell>
          <cell r="B68">
            <v>2184027.5400000005</v>
          </cell>
          <cell r="C68">
            <v>156001.96714285717</v>
          </cell>
          <cell r="D68">
            <v>4836060.981428572</v>
          </cell>
        </row>
        <row r="69">
          <cell r="A69" t="str">
            <v>K38</v>
          </cell>
          <cell r="B69">
            <v>898106.43000000017</v>
          </cell>
          <cell r="C69">
            <v>64150.4592857143</v>
          </cell>
          <cell r="D69">
            <v>1988664.2378571434</v>
          </cell>
        </row>
        <row r="70">
          <cell r="A70" t="str">
            <v>TahiaMIsr2</v>
          </cell>
          <cell r="B70">
            <v>921521.14000000013</v>
          </cell>
          <cell r="C70">
            <v>65822.938571428575</v>
          </cell>
          <cell r="D70">
            <v>2040511.0957142857</v>
          </cell>
        </row>
        <row r="71">
          <cell r="A71" t="str">
            <v>M3Morah</v>
          </cell>
          <cell r="B71">
            <v>227621</v>
          </cell>
          <cell r="C71">
            <v>16258.642857142857</v>
          </cell>
          <cell r="D71">
            <v>504017.92857142858</v>
          </cell>
        </row>
        <row r="72">
          <cell r="A72" t="str">
            <v>ElObour1</v>
          </cell>
          <cell r="B72">
            <v>1141457.7500000007</v>
          </cell>
          <cell r="C72">
            <v>81532.696428571478</v>
          </cell>
          <cell r="D72">
            <v>2527513.5892857159</v>
          </cell>
        </row>
        <row r="73">
          <cell r="A73" t="str">
            <v>Shinzo2</v>
          </cell>
          <cell r="B73">
            <v>441268.1700000001</v>
          </cell>
          <cell r="C73">
            <v>31519.155000000006</v>
          </cell>
          <cell r="D73">
            <v>977093.80500000017</v>
          </cell>
        </row>
        <row r="74">
          <cell r="A74" t="str">
            <v>NOBARIA</v>
          </cell>
          <cell r="B74">
            <v>1578639.6</v>
          </cell>
          <cell r="C74">
            <v>112759.97142857143</v>
          </cell>
          <cell r="D74">
            <v>3495559.1142857145</v>
          </cell>
        </row>
        <row r="75">
          <cell r="A75" t="str">
            <v>Elsanhoury2</v>
          </cell>
          <cell r="B75">
            <v>188266.01</v>
          </cell>
          <cell r="C75">
            <v>13447.572142857143</v>
          </cell>
          <cell r="D75">
            <v>416874.73642857146</v>
          </cell>
        </row>
        <row r="76">
          <cell r="A76" t="str">
            <v>M_Nasr1</v>
          </cell>
          <cell r="B76">
            <v>126749</v>
          </cell>
          <cell r="C76">
            <v>9053.5</v>
          </cell>
          <cell r="D76">
            <v>280658.5</v>
          </cell>
        </row>
        <row r="77">
          <cell r="A77" t="str">
            <v>Sodic_WMC</v>
          </cell>
          <cell r="B77">
            <v>717525</v>
          </cell>
          <cell r="C77">
            <v>51251.785714285717</v>
          </cell>
          <cell r="D77">
            <v>1588805.3571428573</v>
          </cell>
        </row>
        <row r="78">
          <cell r="A78" t="str">
            <v>Marina_Walk</v>
          </cell>
          <cell r="B78">
            <v>135224</v>
          </cell>
          <cell r="C78">
            <v>9658.8571428571431</v>
          </cell>
          <cell r="D78">
            <v>299424.57142857142</v>
          </cell>
        </row>
        <row r="79">
          <cell r="A79" t="str">
            <v>K21</v>
          </cell>
          <cell r="B79">
            <v>988726.1100000001</v>
          </cell>
          <cell r="C79">
            <v>70623.293571428585</v>
          </cell>
          <cell r="D79">
            <v>2189322.1007142863</v>
          </cell>
        </row>
        <row r="80">
          <cell r="A80" t="str">
            <v>MADINTY2</v>
          </cell>
          <cell r="B80">
            <v>272414</v>
          </cell>
          <cell r="C80">
            <v>19458.142857142859</v>
          </cell>
          <cell r="D80">
            <v>603202.42857142864</v>
          </cell>
        </row>
        <row r="81">
          <cell r="A81" t="str">
            <v>Madinaty_Strip</v>
          </cell>
          <cell r="B81">
            <v>261880</v>
          </cell>
          <cell r="C81">
            <v>18705.714285714286</v>
          </cell>
          <cell r="D81">
            <v>579877.14285714284</v>
          </cell>
        </row>
        <row r="82">
          <cell r="A82" t="str">
            <v>UPTOWN</v>
          </cell>
          <cell r="B82">
            <v>523980.02</v>
          </cell>
          <cell r="C82">
            <v>37427.14428571429</v>
          </cell>
          <cell r="D82">
            <v>1160241.472857143</v>
          </cell>
        </row>
        <row r="83">
          <cell r="A83" t="str">
            <v>TenthOfRamadan</v>
          </cell>
          <cell r="B83">
            <v>367768</v>
          </cell>
          <cell r="C83">
            <v>26269.142857142859</v>
          </cell>
          <cell r="D83">
            <v>814343.42857142864</v>
          </cell>
        </row>
        <row r="84">
          <cell r="A84" t="str">
            <v>AIRPORT</v>
          </cell>
          <cell r="B84">
            <v>872012</v>
          </cell>
          <cell r="C84">
            <v>62286.571428571428</v>
          </cell>
          <cell r="D84">
            <v>1930883.7142857143</v>
          </cell>
        </row>
        <row r="85">
          <cell r="A85" t="str">
            <v>NewDamietta</v>
          </cell>
          <cell r="B85">
            <v>1333298.5600000003</v>
          </cell>
          <cell r="C85">
            <v>95235.611428571443</v>
          </cell>
          <cell r="D85">
            <v>2952303.9542857148</v>
          </cell>
        </row>
        <row r="86">
          <cell r="A86" t="str">
            <v>Mivida3</v>
          </cell>
          <cell r="B86">
            <v>577437</v>
          </cell>
          <cell r="C86">
            <v>41245.5</v>
          </cell>
          <cell r="D86">
            <v>1278610.5</v>
          </cell>
        </row>
        <row r="87">
          <cell r="A87" t="str">
            <v>AL-SHAHID2</v>
          </cell>
          <cell r="B87">
            <v>842662</v>
          </cell>
          <cell r="C87">
            <v>60190.142857142855</v>
          </cell>
          <cell r="D87">
            <v>1865894.4285714284</v>
          </cell>
        </row>
        <row r="88">
          <cell r="A88" t="str">
            <v>Kafr2</v>
          </cell>
          <cell r="B88">
            <v>464682</v>
          </cell>
          <cell r="C88">
            <v>33191.571428571428</v>
          </cell>
          <cell r="D88">
            <v>1028938.7142857142</v>
          </cell>
        </row>
        <row r="89">
          <cell r="A89" t="str">
            <v>Park_Lagoon</v>
          </cell>
          <cell r="B89">
            <v>45467</v>
          </cell>
          <cell r="C89">
            <v>3247.6428571428573</v>
          </cell>
          <cell r="D89">
            <v>100676.92857142858</v>
          </cell>
        </row>
        <row r="90">
          <cell r="A90" t="str">
            <v>Elsanhoury1</v>
          </cell>
          <cell r="B90">
            <v>227517</v>
          </cell>
          <cell r="C90">
            <v>16251.214285714286</v>
          </cell>
          <cell r="D90">
            <v>503787.6428571429</v>
          </cell>
        </row>
        <row r="91">
          <cell r="A91" t="str">
            <v>Shinzo3</v>
          </cell>
          <cell r="B91">
            <v>260394</v>
          </cell>
          <cell r="C91">
            <v>18599.571428571428</v>
          </cell>
          <cell r="D91">
            <v>576586.7142857142</v>
          </cell>
        </row>
        <row r="92">
          <cell r="A92" t="str">
            <v>Batrawi2</v>
          </cell>
          <cell r="B92">
            <v>399533</v>
          </cell>
          <cell r="C92">
            <v>28538.071428571428</v>
          </cell>
          <cell r="D92">
            <v>884680.2142857142</v>
          </cell>
        </row>
        <row r="93">
          <cell r="A93" t="str">
            <v>Hegaz</v>
          </cell>
          <cell r="B93">
            <v>2115388</v>
          </cell>
          <cell r="C93">
            <v>151099.14285714287</v>
          </cell>
          <cell r="D93">
            <v>4684073.4285714291</v>
          </cell>
        </row>
        <row r="94">
          <cell r="B94">
            <v>71669777.760000005</v>
          </cell>
          <cell r="C94">
            <v>5119269.8400000008</v>
          </cell>
          <cell r="D94">
            <v>158697365.04000002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B1" t="str">
            <v>Branch Name</v>
          </cell>
          <cell r="C1" t="str">
            <v>Total Sales LE</v>
          </cell>
        </row>
        <row r="2">
          <cell r="B2" t="str">
            <v>Elsanhoury2</v>
          </cell>
          <cell r="C2">
            <v>126980</v>
          </cell>
        </row>
        <row r="3">
          <cell r="B3" t="str">
            <v>AlAhly1</v>
          </cell>
          <cell r="C3">
            <v>113163</v>
          </cell>
        </row>
        <row r="4">
          <cell r="B4" t="str">
            <v>Elsanhoury1</v>
          </cell>
          <cell r="C4">
            <v>93484</v>
          </cell>
        </row>
        <row r="5">
          <cell r="B5" t="str">
            <v>Roxy</v>
          </cell>
          <cell r="C5">
            <v>200411</v>
          </cell>
        </row>
        <row r="6">
          <cell r="B6" t="str">
            <v>Bue</v>
          </cell>
          <cell r="C6">
            <v>15842</v>
          </cell>
        </row>
        <row r="7">
          <cell r="B7" t="str">
            <v>Bluepark</v>
          </cell>
          <cell r="C7">
            <v>193433</v>
          </cell>
        </row>
        <row r="8">
          <cell r="B8" t="str">
            <v>CITYMARK</v>
          </cell>
          <cell r="C8">
            <v>29550</v>
          </cell>
        </row>
        <row r="9">
          <cell r="B9" t="str">
            <v>AIRPORT</v>
          </cell>
          <cell r="C9">
            <v>271445</v>
          </cell>
        </row>
        <row r="10">
          <cell r="B10" t="str">
            <v>Dolphin</v>
          </cell>
          <cell r="C10">
            <v>380039</v>
          </cell>
        </row>
        <row r="11">
          <cell r="B11" t="str">
            <v>Sadat</v>
          </cell>
          <cell r="C11">
            <v>609099</v>
          </cell>
        </row>
        <row r="12">
          <cell r="B12" t="str">
            <v>TenthOfRamadan</v>
          </cell>
          <cell r="C12">
            <v>153904</v>
          </cell>
        </row>
        <row r="13">
          <cell r="B13" t="str">
            <v>Pgardens</v>
          </cell>
          <cell r="C13">
            <v>926177</v>
          </cell>
        </row>
        <row r="14">
          <cell r="B14" t="str">
            <v>TivoliDome</v>
          </cell>
          <cell r="C14">
            <v>27430</v>
          </cell>
        </row>
        <row r="15">
          <cell r="B15" t="str">
            <v>MADINTY3</v>
          </cell>
          <cell r="C15">
            <v>100664</v>
          </cell>
        </row>
        <row r="16">
          <cell r="B16" t="str">
            <v>CITYSCAPE</v>
          </cell>
          <cell r="C16">
            <v>113916</v>
          </cell>
        </row>
        <row r="17">
          <cell r="B17" t="str">
            <v>AL-SHAHID2</v>
          </cell>
          <cell r="C17">
            <v>219018</v>
          </cell>
        </row>
        <row r="18">
          <cell r="B18" t="str">
            <v>Dokki</v>
          </cell>
          <cell r="C18">
            <v>295390</v>
          </cell>
        </row>
        <row r="19">
          <cell r="B19" t="str">
            <v>MoharamBek</v>
          </cell>
          <cell r="C19">
            <v>374442</v>
          </cell>
        </row>
        <row r="20">
          <cell r="B20" t="str">
            <v>MADINTY1</v>
          </cell>
          <cell r="C20">
            <v>234965</v>
          </cell>
        </row>
        <row r="21">
          <cell r="B21" t="str">
            <v>Alex_Gate</v>
          </cell>
          <cell r="C21">
            <v>183118</v>
          </cell>
        </row>
        <row r="22">
          <cell r="B22" t="str">
            <v>MERGHANY</v>
          </cell>
          <cell r="C22">
            <v>158307</v>
          </cell>
        </row>
        <row r="23">
          <cell r="B23" t="str">
            <v>Chillout_Sharm</v>
          </cell>
          <cell r="C23">
            <v>133853</v>
          </cell>
        </row>
        <row r="24">
          <cell r="B24" t="str">
            <v>AlAmein3</v>
          </cell>
          <cell r="C24">
            <v>125866</v>
          </cell>
        </row>
        <row r="25">
          <cell r="B25" t="str">
            <v>Gesr</v>
          </cell>
          <cell r="C25">
            <v>150509</v>
          </cell>
        </row>
        <row r="26">
          <cell r="B26" t="str">
            <v>AL-SHAHID1</v>
          </cell>
          <cell r="C26">
            <v>493860</v>
          </cell>
        </row>
        <row r="27">
          <cell r="B27" t="str">
            <v>SuperJet</v>
          </cell>
          <cell r="C27">
            <v>251492</v>
          </cell>
        </row>
        <row r="28">
          <cell r="B28" t="str">
            <v>K27</v>
          </cell>
          <cell r="C28">
            <v>108646</v>
          </cell>
        </row>
        <row r="29">
          <cell r="B29" t="str">
            <v>MADINTY2</v>
          </cell>
          <cell r="C29">
            <v>86071</v>
          </cell>
        </row>
        <row r="30">
          <cell r="B30" t="str">
            <v>K38</v>
          </cell>
          <cell r="C30">
            <v>151149</v>
          </cell>
        </row>
        <row r="31">
          <cell r="B31" t="str">
            <v>TRUMPH</v>
          </cell>
          <cell r="C31">
            <v>981091</v>
          </cell>
        </row>
        <row r="32">
          <cell r="B32" t="str">
            <v>NOBARIA</v>
          </cell>
          <cell r="C32">
            <v>397816</v>
          </cell>
        </row>
        <row r="33">
          <cell r="B33" t="str">
            <v>Shinzo3</v>
          </cell>
          <cell r="C33">
            <v>52979</v>
          </cell>
        </row>
        <row r="34">
          <cell r="B34" t="str">
            <v>Midor</v>
          </cell>
          <cell r="C34">
            <v>1160028</v>
          </cell>
        </row>
        <row r="35">
          <cell r="B35" t="str">
            <v>Alahly2</v>
          </cell>
          <cell r="C35">
            <v>244253</v>
          </cell>
        </row>
        <row r="36">
          <cell r="B36" t="str">
            <v>Chillout_Tayaran</v>
          </cell>
          <cell r="C36">
            <v>253836</v>
          </cell>
        </row>
        <row r="37">
          <cell r="B37" t="str">
            <v>Josip</v>
          </cell>
          <cell r="C37">
            <v>134901</v>
          </cell>
        </row>
        <row r="38">
          <cell r="B38" t="str">
            <v>CHILLOUT2</v>
          </cell>
          <cell r="C38">
            <v>525886</v>
          </cell>
        </row>
        <row r="39">
          <cell r="B39" t="str">
            <v>Heliopolis</v>
          </cell>
          <cell r="C39">
            <v>142055</v>
          </cell>
        </row>
        <row r="40">
          <cell r="B40" t="str">
            <v>Kersh</v>
          </cell>
          <cell r="C40">
            <v>215003</v>
          </cell>
        </row>
        <row r="41">
          <cell r="B41" t="str">
            <v>Nakheel</v>
          </cell>
          <cell r="C41">
            <v>645580</v>
          </cell>
        </row>
        <row r="42">
          <cell r="B42" t="str">
            <v>Mivida2</v>
          </cell>
          <cell r="C42">
            <v>192394</v>
          </cell>
        </row>
        <row r="43">
          <cell r="B43" t="str">
            <v>Nostalgia</v>
          </cell>
          <cell r="C43">
            <v>63486</v>
          </cell>
        </row>
        <row r="44">
          <cell r="B44" t="str">
            <v>K21</v>
          </cell>
          <cell r="C44">
            <v>220412</v>
          </cell>
        </row>
        <row r="45">
          <cell r="B45" t="str">
            <v>G7</v>
          </cell>
          <cell r="C45">
            <v>162500</v>
          </cell>
        </row>
        <row r="46">
          <cell r="B46" t="str">
            <v>Elshams</v>
          </cell>
          <cell r="C46">
            <v>214638</v>
          </cell>
        </row>
        <row r="47">
          <cell r="B47" t="str">
            <v>Damietta2</v>
          </cell>
          <cell r="C47">
            <v>205546</v>
          </cell>
        </row>
        <row r="48">
          <cell r="B48" t="str">
            <v>UH</v>
          </cell>
          <cell r="C48">
            <v>14451</v>
          </cell>
        </row>
        <row r="49">
          <cell r="B49" t="str">
            <v>NewCapital</v>
          </cell>
          <cell r="C49">
            <v>81895</v>
          </cell>
        </row>
        <row r="50">
          <cell r="B50" t="str">
            <v>Autostorad</v>
          </cell>
          <cell r="C50">
            <v>96583</v>
          </cell>
        </row>
        <row r="51">
          <cell r="B51" t="str">
            <v>WAHA2</v>
          </cell>
          <cell r="C51">
            <v>98839</v>
          </cell>
        </row>
        <row r="52">
          <cell r="B52" t="str">
            <v>Shazly</v>
          </cell>
          <cell r="C52">
            <v>297034</v>
          </cell>
        </row>
        <row r="53">
          <cell r="B53" t="str">
            <v>Sheraton</v>
          </cell>
          <cell r="C53">
            <v>269887</v>
          </cell>
        </row>
        <row r="54">
          <cell r="B54" t="str">
            <v>Hegaz</v>
          </cell>
          <cell r="C54">
            <v>176196</v>
          </cell>
        </row>
        <row r="55">
          <cell r="B55" t="str">
            <v>Ismailia_Gate2</v>
          </cell>
          <cell r="C55">
            <v>333378</v>
          </cell>
        </row>
        <row r="56">
          <cell r="B56" t="str">
            <v>Kafrawy</v>
          </cell>
          <cell r="C56">
            <v>152217</v>
          </cell>
        </row>
        <row r="57">
          <cell r="B57" t="str">
            <v>TahiaMisr2</v>
          </cell>
          <cell r="C57">
            <v>160288</v>
          </cell>
        </row>
        <row r="58">
          <cell r="B58" t="str">
            <v>M3Morah</v>
          </cell>
          <cell r="C58">
            <v>64331</v>
          </cell>
        </row>
        <row r="59">
          <cell r="B59" t="str">
            <v>Dunes</v>
          </cell>
          <cell r="C59">
            <v>328115</v>
          </cell>
        </row>
        <row r="60">
          <cell r="B60" t="str">
            <v>Kafrawy2</v>
          </cell>
          <cell r="C60">
            <v>176073</v>
          </cell>
        </row>
        <row r="61">
          <cell r="B61" t="str">
            <v>ISMAILIA_GATE</v>
          </cell>
          <cell r="C61">
            <v>325632</v>
          </cell>
        </row>
        <row r="62">
          <cell r="B62" t="str">
            <v>Sheraton walk</v>
          </cell>
          <cell r="C62">
            <v>247679</v>
          </cell>
        </row>
        <row r="63">
          <cell r="B63" t="str">
            <v>Sodic_WMC</v>
          </cell>
          <cell r="C63">
            <v>177925</v>
          </cell>
        </row>
        <row r="64">
          <cell r="B64" t="str">
            <v>Batrawi1</v>
          </cell>
          <cell r="C64">
            <v>188254</v>
          </cell>
        </row>
        <row r="65">
          <cell r="B65" t="str">
            <v>Batrawi2</v>
          </cell>
          <cell r="C65">
            <v>250924</v>
          </cell>
        </row>
        <row r="66">
          <cell r="B66" t="str">
            <v>GREEN PARK</v>
          </cell>
          <cell r="C66">
            <v>189651</v>
          </cell>
        </row>
        <row r="67">
          <cell r="B67" t="str">
            <v>CFC</v>
          </cell>
          <cell r="C67">
            <v>671991</v>
          </cell>
        </row>
        <row r="68">
          <cell r="B68" t="str">
            <v>AUC</v>
          </cell>
          <cell r="C68">
            <v>420732</v>
          </cell>
        </row>
        <row r="69">
          <cell r="B69" t="str">
            <v>Shinzo2</v>
          </cell>
          <cell r="C69">
            <v>136861</v>
          </cell>
        </row>
        <row r="70">
          <cell r="B70" t="str">
            <v>Shinzo1</v>
          </cell>
          <cell r="C70">
            <v>357735</v>
          </cell>
        </row>
        <row r="71">
          <cell r="B71" t="str">
            <v>Police_Academy</v>
          </cell>
          <cell r="C71">
            <v>193709</v>
          </cell>
        </row>
        <row r="72">
          <cell r="B72" t="str">
            <v>Tanta</v>
          </cell>
          <cell r="C72">
            <v>279300</v>
          </cell>
        </row>
        <row r="73">
          <cell r="B73" t="str">
            <v>Assiut</v>
          </cell>
          <cell r="C73">
            <v>116862</v>
          </cell>
        </row>
        <row r="74">
          <cell r="B74" t="str">
            <v>Elnahas2</v>
          </cell>
          <cell r="C74">
            <v>145315</v>
          </cell>
        </row>
        <row r="75">
          <cell r="B75" t="str">
            <v>NewDamietta</v>
          </cell>
          <cell r="C75">
            <v>346817</v>
          </cell>
        </row>
        <row r="76">
          <cell r="B76" t="str">
            <v>ElObour1</v>
          </cell>
          <cell r="C76">
            <v>380280</v>
          </cell>
        </row>
        <row r="77">
          <cell r="B77" t="str">
            <v>AL-REHAB</v>
          </cell>
          <cell r="C77">
            <v>1139578</v>
          </cell>
        </row>
        <row r="78">
          <cell r="B78" t="str">
            <v>AlShorouk</v>
          </cell>
          <cell r="C78">
            <v>291620</v>
          </cell>
        </row>
        <row r="79">
          <cell r="B79" t="str">
            <v>Jehan</v>
          </cell>
          <cell r="C79">
            <v>234573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B1" t="str">
            <v>Branch Name</v>
          </cell>
          <cell r="C1" t="str">
            <v>Total Sales LE</v>
          </cell>
        </row>
        <row r="2">
          <cell r="B2" t="str">
            <v>Elsanhoury2</v>
          </cell>
          <cell r="C2">
            <v>120203</v>
          </cell>
        </row>
        <row r="3">
          <cell r="B3" t="str">
            <v>AlAhly1</v>
          </cell>
          <cell r="C3">
            <v>91538</v>
          </cell>
        </row>
        <row r="4">
          <cell r="B4" t="str">
            <v>Elsanhoury1</v>
          </cell>
          <cell r="C4">
            <v>132289</v>
          </cell>
        </row>
        <row r="5">
          <cell r="B5" t="str">
            <v>Roxy</v>
          </cell>
          <cell r="C5">
            <v>271802</v>
          </cell>
        </row>
        <row r="6">
          <cell r="B6" t="str">
            <v>Bue</v>
          </cell>
          <cell r="C6">
            <v>140663</v>
          </cell>
        </row>
        <row r="7">
          <cell r="B7" t="str">
            <v>Bluepark</v>
          </cell>
          <cell r="C7">
            <v>198329</v>
          </cell>
        </row>
        <row r="8">
          <cell r="B8" t="str">
            <v>CITYMARK</v>
          </cell>
          <cell r="C8">
            <v>44603</v>
          </cell>
        </row>
        <row r="9">
          <cell r="B9" t="str">
            <v>AIRPORT</v>
          </cell>
          <cell r="C9">
            <v>372994</v>
          </cell>
        </row>
        <row r="10">
          <cell r="B10" t="str">
            <v>Dolphin</v>
          </cell>
          <cell r="C10">
            <v>469687</v>
          </cell>
        </row>
        <row r="11">
          <cell r="B11" t="str">
            <v>Sadat</v>
          </cell>
          <cell r="C11">
            <v>786773</v>
          </cell>
        </row>
        <row r="12">
          <cell r="B12" t="str">
            <v>TenthOfRamadan</v>
          </cell>
          <cell r="C12">
            <v>155092</v>
          </cell>
        </row>
        <row r="13">
          <cell r="B13" t="str">
            <v>Pgardens</v>
          </cell>
          <cell r="C13">
            <v>1124089</v>
          </cell>
        </row>
        <row r="14">
          <cell r="B14" t="str">
            <v>TivoliDome</v>
          </cell>
          <cell r="C14">
            <v>29775</v>
          </cell>
        </row>
        <row r="15">
          <cell r="B15" t="str">
            <v>MADINTY3</v>
          </cell>
          <cell r="C15">
            <v>124164</v>
          </cell>
        </row>
        <row r="16">
          <cell r="B16" t="str">
            <v>CITYSCAPE</v>
          </cell>
          <cell r="C16">
            <v>131347</v>
          </cell>
        </row>
        <row r="17">
          <cell r="B17" t="str">
            <v>AL-SHAHID2</v>
          </cell>
          <cell r="C17">
            <v>306918</v>
          </cell>
        </row>
        <row r="18">
          <cell r="B18" t="str">
            <v>Dokki</v>
          </cell>
          <cell r="C18">
            <v>329148</v>
          </cell>
        </row>
        <row r="19">
          <cell r="B19" t="str">
            <v>MoharamBek</v>
          </cell>
          <cell r="C19">
            <v>550707</v>
          </cell>
        </row>
        <row r="20">
          <cell r="B20" t="str">
            <v>MADINTY1</v>
          </cell>
          <cell r="C20">
            <v>309911</v>
          </cell>
        </row>
        <row r="21">
          <cell r="B21" t="str">
            <v>Kafr El-Shaikh 2</v>
          </cell>
          <cell r="C21">
            <v>138047</v>
          </cell>
        </row>
        <row r="22">
          <cell r="B22" t="str">
            <v>Alex_Gate</v>
          </cell>
          <cell r="C22">
            <v>350144</v>
          </cell>
        </row>
        <row r="23">
          <cell r="B23" t="str">
            <v>FUE</v>
          </cell>
          <cell r="C23">
            <v>6684</v>
          </cell>
        </row>
        <row r="24">
          <cell r="B24" t="str">
            <v>MERGHANY</v>
          </cell>
          <cell r="C24">
            <v>128428</v>
          </cell>
        </row>
        <row r="25">
          <cell r="B25" t="str">
            <v>Chillout_Sharm</v>
          </cell>
          <cell r="C25">
            <v>162214</v>
          </cell>
        </row>
        <row r="26">
          <cell r="B26" t="str">
            <v>AlAmein3</v>
          </cell>
          <cell r="C26">
            <v>304224</v>
          </cell>
        </row>
        <row r="27">
          <cell r="B27" t="str">
            <v>Gesr</v>
          </cell>
          <cell r="C27">
            <v>157521</v>
          </cell>
        </row>
        <row r="28">
          <cell r="B28" t="str">
            <v>AL-SHAHID1</v>
          </cell>
          <cell r="C28">
            <v>618374</v>
          </cell>
        </row>
        <row r="29">
          <cell r="B29" t="str">
            <v>SuperJet</v>
          </cell>
          <cell r="C29">
            <v>299183</v>
          </cell>
        </row>
        <row r="30">
          <cell r="B30" t="str">
            <v>K27</v>
          </cell>
          <cell r="C30">
            <v>137914</v>
          </cell>
        </row>
        <row r="31">
          <cell r="B31" t="str">
            <v>MADINTY2</v>
          </cell>
          <cell r="C31">
            <v>77170</v>
          </cell>
        </row>
        <row r="32">
          <cell r="B32" t="str">
            <v>K38</v>
          </cell>
          <cell r="C32">
            <v>323105</v>
          </cell>
        </row>
        <row r="33">
          <cell r="B33" t="str">
            <v>TRUMPH</v>
          </cell>
          <cell r="C33">
            <v>1232487</v>
          </cell>
        </row>
        <row r="34">
          <cell r="B34" t="str">
            <v>NOBARIA</v>
          </cell>
          <cell r="C34">
            <v>653228</v>
          </cell>
        </row>
        <row r="35">
          <cell r="B35" t="str">
            <v>Shinzo3</v>
          </cell>
          <cell r="C35">
            <v>77821</v>
          </cell>
        </row>
        <row r="36">
          <cell r="B36" t="str">
            <v>Midor</v>
          </cell>
          <cell r="C36">
            <v>1305795</v>
          </cell>
        </row>
        <row r="37">
          <cell r="B37" t="str">
            <v>Alahly2</v>
          </cell>
          <cell r="C37">
            <v>290542</v>
          </cell>
        </row>
        <row r="38">
          <cell r="B38" t="str">
            <v>Chillout_Tayaran</v>
          </cell>
          <cell r="C38">
            <v>299240</v>
          </cell>
        </row>
        <row r="39">
          <cell r="B39" t="str">
            <v>Josip</v>
          </cell>
          <cell r="C39">
            <v>147794</v>
          </cell>
        </row>
        <row r="40">
          <cell r="B40" t="str">
            <v>CHILLOUT2</v>
          </cell>
          <cell r="C40">
            <v>694629</v>
          </cell>
        </row>
        <row r="41">
          <cell r="B41" t="str">
            <v>Heliopolis</v>
          </cell>
          <cell r="C41">
            <v>126556</v>
          </cell>
        </row>
        <row r="42">
          <cell r="B42" t="str">
            <v>Kersh</v>
          </cell>
          <cell r="C42">
            <v>242348</v>
          </cell>
        </row>
        <row r="43">
          <cell r="B43" t="str">
            <v>Nakheel</v>
          </cell>
          <cell r="C43">
            <v>819541</v>
          </cell>
        </row>
        <row r="44">
          <cell r="B44" t="str">
            <v>Mivida2</v>
          </cell>
          <cell r="C44">
            <v>198089</v>
          </cell>
        </row>
        <row r="45">
          <cell r="B45" t="str">
            <v>Nostalgia</v>
          </cell>
          <cell r="C45">
            <v>72416</v>
          </cell>
        </row>
        <row r="46">
          <cell r="B46" t="str">
            <v>K21</v>
          </cell>
          <cell r="C46">
            <v>332105</v>
          </cell>
        </row>
        <row r="47">
          <cell r="B47" t="str">
            <v>G7</v>
          </cell>
          <cell r="C47">
            <v>201401</v>
          </cell>
        </row>
        <row r="48">
          <cell r="B48" t="str">
            <v>Elshams</v>
          </cell>
          <cell r="C48">
            <v>237287</v>
          </cell>
        </row>
        <row r="49">
          <cell r="B49" t="str">
            <v>Damietta2</v>
          </cell>
          <cell r="C49">
            <v>278072</v>
          </cell>
        </row>
        <row r="50">
          <cell r="B50" t="str">
            <v>UH</v>
          </cell>
          <cell r="C50">
            <v>46262</v>
          </cell>
        </row>
        <row r="51">
          <cell r="B51" t="str">
            <v>NewCapital</v>
          </cell>
          <cell r="C51">
            <v>154678</v>
          </cell>
        </row>
        <row r="52">
          <cell r="B52" t="str">
            <v>Autostorad</v>
          </cell>
          <cell r="C52">
            <v>40845</v>
          </cell>
        </row>
        <row r="53">
          <cell r="B53" t="str">
            <v>WAHA2</v>
          </cell>
          <cell r="C53">
            <v>451722</v>
          </cell>
        </row>
        <row r="54">
          <cell r="B54" t="str">
            <v>Shazly</v>
          </cell>
          <cell r="C54">
            <v>452140</v>
          </cell>
        </row>
        <row r="55">
          <cell r="B55" t="str">
            <v>Sheraton</v>
          </cell>
          <cell r="C55">
            <v>249727</v>
          </cell>
        </row>
        <row r="56">
          <cell r="B56" t="str">
            <v>Hegaz</v>
          </cell>
          <cell r="C56">
            <v>155739</v>
          </cell>
        </row>
        <row r="57">
          <cell r="B57" t="str">
            <v>Ismailia_Gate2</v>
          </cell>
          <cell r="C57">
            <v>500009</v>
          </cell>
        </row>
        <row r="58">
          <cell r="B58" t="str">
            <v>Kafrawy</v>
          </cell>
          <cell r="C58">
            <v>160577</v>
          </cell>
        </row>
        <row r="59">
          <cell r="B59" t="str">
            <v>TahiaMisr2</v>
          </cell>
          <cell r="C59">
            <v>219571</v>
          </cell>
        </row>
        <row r="60">
          <cell r="B60" t="str">
            <v>M3Morah</v>
          </cell>
          <cell r="C60">
            <v>97149</v>
          </cell>
        </row>
        <row r="61">
          <cell r="B61" t="str">
            <v>Dunes</v>
          </cell>
          <cell r="C61">
            <v>381280</v>
          </cell>
        </row>
        <row r="62">
          <cell r="B62" t="str">
            <v>ISMAILIA_GATE</v>
          </cell>
          <cell r="C62">
            <v>485248</v>
          </cell>
        </row>
        <row r="63">
          <cell r="B63" t="str">
            <v>Kafrawy2</v>
          </cell>
          <cell r="C63">
            <v>230415</v>
          </cell>
        </row>
        <row r="64">
          <cell r="B64" t="str">
            <v>Sheraton walk</v>
          </cell>
          <cell r="C64">
            <v>306122</v>
          </cell>
        </row>
        <row r="65">
          <cell r="B65" t="str">
            <v>Sodic_WMC</v>
          </cell>
          <cell r="C65">
            <v>209111</v>
          </cell>
        </row>
        <row r="66">
          <cell r="B66" t="str">
            <v>Batrawi1</v>
          </cell>
          <cell r="C66">
            <v>136507</v>
          </cell>
        </row>
        <row r="67">
          <cell r="B67" t="str">
            <v>Batrawi2</v>
          </cell>
          <cell r="C67">
            <v>203936</v>
          </cell>
        </row>
        <row r="68">
          <cell r="B68" t="str">
            <v>GREEN PARK</v>
          </cell>
          <cell r="C68">
            <v>249617</v>
          </cell>
        </row>
        <row r="69">
          <cell r="B69" t="str">
            <v>CFC</v>
          </cell>
          <cell r="C69">
            <v>884453</v>
          </cell>
        </row>
        <row r="70">
          <cell r="B70" t="str">
            <v>AUC</v>
          </cell>
          <cell r="C70">
            <v>519686</v>
          </cell>
        </row>
        <row r="71">
          <cell r="B71" t="str">
            <v>Shinzo2</v>
          </cell>
          <cell r="C71">
            <v>151828</v>
          </cell>
        </row>
        <row r="72">
          <cell r="B72" t="str">
            <v>Shinzo1</v>
          </cell>
          <cell r="C72">
            <v>302937</v>
          </cell>
        </row>
        <row r="73">
          <cell r="B73" t="str">
            <v>Police_Academy</v>
          </cell>
          <cell r="C73">
            <v>222561</v>
          </cell>
        </row>
        <row r="74">
          <cell r="B74" t="str">
            <v>Tanta</v>
          </cell>
          <cell r="C74">
            <v>420865</v>
          </cell>
        </row>
        <row r="75">
          <cell r="B75" t="str">
            <v>Assiut</v>
          </cell>
          <cell r="C75">
            <v>158229</v>
          </cell>
        </row>
        <row r="76">
          <cell r="B76" t="str">
            <v>Elnahas2</v>
          </cell>
          <cell r="C76">
            <v>147497</v>
          </cell>
        </row>
        <row r="77">
          <cell r="B77" t="str">
            <v>NewDamietta</v>
          </cell>
          <cell r="C77">
            <v>464741</v>
          </cell>
        </row>
        <row r="78">
          <cell r="B78" t="str">
            <v>ElObour1</v>
          </cell>
          <cell r="C78">
            <v>435202</v>
          </cell>
        </row>
        <row r="79">
          <cell r="B79" t="str">
            <v>AL-REHAB</v>
          </cell>
          <cell r="C79">
            <v>1227865</v>
          </cell>
        </row>
        <row r="80">
          <cell r="B80" t="str">
            <v>AlShorouk</v>
          </cell>
          <cell r="C80">
            <v>356196</v>
          </cell>
        </row>
        <row r="81">
          <cell r="B81" t="str">
            <v>Jehan</v>
          </cell>
          <cell r="C81">
            <v>269141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A1" t="str">
            <v>Branch Name</v>
          </cell>
          <cell r="B1" t="str">
            <v>Total Sales LE</v>
          </cell>
        </row>
        <row r="2">
          <cell r="A2" t="str">
            <v>Nakheel</v>
          </cell>
          <cell r="B2">
            <v>1131904.5</v>
          </cell>
        </row>
        <row r="3">
          <cell r="A3" t="str">
            <v>ISMAILIA_GATE</v>
          </cell>
          <cell r="B3">
            <v>684352.5</v>
          </cell>
        </row>
        <row r="4">
          <cell r="A4" t="str">
            <v>K27</v>
          </cell>
          <cell r="B4">
            <v>240735</v>
          </cell>
        </row>
        <row r="5">
          <cell r="A5" t="str">
            <v>Alahly2</v>
          </cell>
          <cell r="B5">
            <v>247645.01</v>
          </cell>
        </row>
        <row r="6">
          <cell r="A6" t="str">
            <v>MADINTY1</v>
          </cell>
          <cell r="B6">
            <v>504579</v>
          </cell>
        </row>
        <row r="7">
          <cell r="A7" t="str">
            <v>MADINTY3</v>
          </cell>
          <cell r="B7">
            <v>237211</v>
          </cell>
        </row>
        <row r="8">
          <cell r="A8" t="str">
            <v>G7</v>
          </cell>
          <cell r="B8">
            <v>328040</v>
          </cell>
        </row>
        <row r="9">
          <cell r="A9" t="str">
            <v>AlAhly1</v>
          </cell>
          <cell r="B9">
            <v>189194</v>
          </cell>
        </row>
        <row r="10">
          <cell r="A10" t="str">
            <v>AlShorouk</v>
          </cell>
          <cell r="B10">
            <v>529965.5</v>
          </cell>
        </row>
        <row r="11">
          <cell r="A11" t="str">
            <v>Dolphin</v>
          </cell>
          <cell r="B11">
            <v>491781.5</v>
          </cell>
        </row>
        <row r="12">
          <cell r="A12" t="str">
            <v>Bluepark</v>
          </cell>
          <cell r="B12">
            <v>134981</v>
          </cell>
        </row>
        <row r="13">
          <cell r="A13" t="str">
            <v>Sheraton</v>
          </cell>
          <cell r="B13">
            <v>518042.84</v>
          </cell>
        </row>
        <row r="14">
          <cell r="A14" t="str">
            <v>Jehan</v>
          </cell>
          <cell r="B14">
            <v>455320.5</v>
          </cell>
        </row>
        <row r="15">
          <cell r="A15" t="str">
            <v>Alamein3</v>
          </cell>
          <cell r="B15">
            <v>466214</v>
          </cell>
        </row>
        <row r="16">
          <cell r="A16" t="str">
            <v>Alex_Gate</v>
          </cell>
          <cell r="B16">
            <v>632266.5</v>
          </cell>
        </row>
        <row r="17">
          <cell r="A17" t="str">
            <v>Dokki</v>
          </cell>
          <cell r="B17">
            <v>416076</v>
          </cell>
        </row>
        <row r="18">
          <cell r="A18" t="str">
            <v>Chillout_ElHorya</v>
          </cell>
          <cell r="B18">
            <v>615405</v>
          </cell>
        </row>
        <row r="19">
          <cell r="A19" t="str">
            <v>TRUMPH</v>
          </cell>
          <cell r="B19">
            <v>1894968.5</v>
          </cell>
        </row>
        <row r="20">
          <cell r="A20" t="str">
            <v>Ismailia_Gate2</v>
          </cell>
          <cell r="B20">
            <v>867991</v>
          </cell>
        </row>
        <row r="21">
          <cell r="A21" t="str">
            <v>Sheraton walk</v>
          </cell>
          <cell r="B21">
            <v>382138.5</v>
          </cell>
        </row>
        <row r="22">
          <cell r="A22" t="str">
            <v>Roxy</v>
          </cell>
          <cell r="B22">
            <v>349656</v>
          </cell>
        </row>
        <row r="23">
          <cell r="A23" t="str">
            <v>UH</v>
          </cell>
          <cell r="B23">
            <v>202098.96</v>
          </cell>
        </row>
        <row r="24">
          <cell r="A24" t="str">
            <v>Gesr</v>
          </cell>
          <cell r="B24">
            <v>387273</v>
          </cell>
        </row>
        <row r="25">
          <cell r="A25" t="str">
            <v>Josip</v>
          </cell>
          <cell r="B25">
            <v>353181.5</v>
          </cell>
        </row>
        <row r="26">
          <cell r="A26" t="str">
            <v>Mivida2</v>
          </cell>
          <cell r="B26">
            <v>218444.5</v>
          </cell>
        </row>
        <row r="27">
          <cell r="A27" t="str">
            <v>ElGabakhana</v>
          </cell>
          <cell r="B27">
            <v>749560.5</v>
          </cell>
        </row>
        <row r="28">
          <cell r="A28" t="str">
            <v>Police_Academy</v>
          </cell>
          <cell r="B28">
            <v>319679</v>
          </cell>
        </row>
        <row r="29">
          <cell r="A29" t="str">
            <v>Adeer</v>
          </cell>
          <cell r="B29">
            <v>150227</v>
          </cell>
        </row>
        <row r="30">
          <cell r="A30" t="str">
            <v>CHILL2</v>
          </cell>
          <cell r="B30">
            <v>1100479</v>
          </cell>
        </row>
        <row r="31">
          <cell r="A31" t="str">
            <v>Shazly</v>
          </cell>
          <cell r="B31">
            <v>742161</v>
          </cell>
        </row>
        <row r="32">
          <cell r="A32" t="str">
            <v>AL-REHAB</v>
          </cell>
          <cell r="B32">
            <v>1725093.94</v>
          </cell>
        </row>
        <row r="33">
          <cell r="A33" t="str">
            <v>Zamalek_MP</v>
          </cell>
          <cell r="B33">
            <v>265512</v>
          </cell>
        </row>
        <row r="34">
          <cell r="A34" t="str">
            <v>Batrawi1</v>
          </cell>
          <cell r="B34">
            <v>181155</v>
          </cell>
        </row>
        <row r="35">
          <cell r="A35" t="str">
            <v>Sadat</v>
          </cell>
          <cell r="B35">
            <v>1003019.5</v>
          </cell>
        </row>
        <row r="36">
          <cell r="A36" t="str">
            <v>Midor</v>
          </cell>
          <cell r="B36">
            <v>1907976</v>
          </cell>
        </row>
        <row r="37">
          <cell r="A37" t="str">
            <v>Elnahas2</v>
          </cell>
          <cell r="B37">
            <v>246229.5</v>
          </cell>
        </row>
        <row r="38">
          <cell r="A38" t="str">
            <v>NewCapital</v>
          </cell>
          <cell r="B38">
            <v>367329.5</v>
          </cell>
        </row>
        <row r="39">
          <cell r="A39" t="str">
            <v>MERGHANY</v>
          </cell>
          <cell r="B39">
            <v>71674.5</v>
          </cell>
        </row>
        <row r="40">
          <cell r="A40" t="str">
            <v>Chillout_Sharm</v>
          </cell>
          <cell r="B40">
            <v>193441</v>
          </cell>
        </row>
        <row r="41">
          <cell r="A41" t="str">
            <v>Maadimobil</v>
          </cell>
          <cell r="B41">
            <v>781967</v>
          </cell>
        </row>
        <row r="42">
          <cell r="A42" t="str">
            <v>Shinzo1</v>
          </cell>
          <cell r="B42">
            <v>549877.5</v>
          </cell>
        </row>
        <row r="43">
          <cell r="A43" t="str">
            <v>Elshams</v>
          </cell>
          <cell r="B43">
            <v>240383.5</v>
          </cell>
        </row>
        <row r="44">
          <cell r="A44" t="str">
            <v>KERSH</v>
          </cell>
          <cell r="B44">
            <v>445875.5</v>
          </cell>
        </row>
        <row r="45">
          <cell r="A45" t="str">
            <v>ELMAX</v>
          </cell>
          <cell r="B45">
            <v>137939</v>
          </cell>
        </row>
        <row r="46">
          <cell r="A46" t="str">
            <v>AL-SHAHID1</v>
          </cell>
          <cell r="B46">
            <v>1104068.5</v>
          </cell>
        </row>
        <row r="47">
          <cell r="A47" t="str">
            <v>Kafrawy</v>
          </cell>
          <cell r="B47">
            <v>339285.5</v>
          </cell>
        </row>
        <row r="48">
          <cell r="A48" t="str">
            <v>CITYSCAPE</v>
          </cell>
          <cell r="B48">
            <v>126077</v>
          </cell>
        </row>
        <row r="49">
          <cell r="A49" t="str">
            <v>CFC</v>
          </cell>
          <cell r="B49">
            <v>1702201</v>
          </cell>
        </row>
        <row r="50">
          <cell r="A50" t="str">
            <v>SuperJet</v>
          </cell>
          <cell r="B50">
            <v>262433</v>
          </cell>
        </row>
        <row r="51">
          <cell r="A51" t="str">
            <v>Sheraton_Stirp</v>
          </cell>
          <cell r="B51">
            <v>210976.5</v>
          </cell>
        </row>
        <row r="52">
          <cell r="A52" t="str">
            <v>BUE</v>
          </cell>
          <cell r="B52">
            <v>145015</v>
          </cell>
        </row>
        <row r="53">
          <cell r="A53" t="str">
            <v>AUC</v>
          </cell>
          <cell r="B53">
            <v>845240</v>
          </cell>
        </row>
        <row r="54">
          <cell r="A54" t="str">
            <v>Chillout_Tayaran</v>
          </cell>
          <cell r="B54">
            <v>287265</v>
          </cell>
        </row>
        <row r="55">
          <cell r="A55" t="str">
            <v>K23</v>
          </cell>
          <cell r="B55">
            <v>214293</v>
          </cell>
        </row>
        <row r="56">
          <cell r="A56" t="str">
            <v>MoharamBek</v>
          </cell>
          <cell r="B56">
            <v>1000725.5</v>
          </cell>
        </row>
        <row r="57">
          <cell r="A57" t="str">
            <v>Kafrawy2</v>
          </cell>
          <cell r="B57">
            <v>472462</v>
          </cell>
        </row>
        <row r="58">
          <cell r="A58" t="str">
            <v>Tanta</v>
          </cell>
          <cell r="B58">
            <v>363044</v>
          </cell>
        </row>
        <row r="59">
          <cell r="A59" t="str">
            <v>Heliopolis</v>
          </cell>
          <cell r="B59">
            <v>217203.5</v>
          </cell>
        </row>
        <row r="60">
          <cell r="A60" t="str">
            <v>WAHA2</v>
          </cell>
          <cell r="B60">
            <v>335228</v>
          </cell>
        </row>
        <row r="61">
          <cell r="A61" t="str">
            <v>Dunes</v>
          </cell>
          <cell r="B61">
            <v>596955</v>
          </cell>
        </row>
        <row r="62">
          <cell r="A62" t="str">
            <v>Damietta2</v>
          </cell>
          <cell r="B62">
            <v>575420.5</v>
          </cell>
        </row>
        <row r="63">
          <cell r="A63" t="str">
            <v>Smart</v>
          </cell>
          <cell r="B63">
            <v>279756</v>
          </cell>
        </row>
        <row r="64">
          <cell r="A64" t="str">
            <v>Assuit2</v>
          </cell>
          <cell r="B64">
            <v>181660</v>
          </cell>
        </row>
        <row r="65">
          <cell r="A65" t="str">
            <v>GREEN PARK</v>
          </cell>
          <cell r="B65">
            <v>306198</v>
          </cell>
        </row>
        <row r="66">
          <cell r="A66" t="str">
            <v>Pgardens</v>
          </cell>
          <cell r="B66">
            <v>1413177.5</v>
          </cell>
        </row>
        <row r="67">
          <cell r="A67" t="str">
            <v>K38</v>
          </cell>
          <cell r="B67">
            <v>538581</v>
          </cell>
        </row>
        <row r="68">
          <cell r="A68" t="str">
            <v>TahiaMIsr2</v>
          </cell>
          <cell r="B68">
            <v>553757.5</v>
          </cell>
        </row>
        <row r="69">
          <cell r="A69" t="str">
            <v>M3Morah</v>
          </cell>
          <cell r="B69">
            <v>154731.5</v>
          </cell>
        </row>
        <row r="70">
          <cell r="A70" t="str">
            <v>ElObour1</v>
          </cell>
          <cell r="B70">
            <v>661675.5</v>
          </cell>
        </row>
        <row r="71">
          <cell r="A71" t="str">
            <v>Shinzo2</v>
          </cell>
          <cell r="B71">
            <v>340366</v>
          </cell>
        </row>
        <row r="72">
          <cell r="A72" t="str">
            <v>NOBARIA</v>
          </cell>
          <cell r="B72">
            <v>1011135.5</v>
          </cell>
        </row>
        <row r="73">
          <cell r="A73" t="str">
            <v>Elsanhoury2</v>
          </cell>
          <cell r="B73">
            <v>23092</v>
          </cell>
        </row>
        <row r="74">
          <cell r="A74" t="str">
            <v>Sodic_WMC</v>
          </cell>
          <cell r="B74">
            <v>389299.5</v>
          </cell>
        </row>
        <row r="75">
          <cell r="A75" t="str">
            <v>Assiut</v>
          </cell>
          <cell r="B75">
            <v>186924</v>
          </cell>
        </row>
        <row r="76">
          <cell r="A76" t="str">
            <v>K21</v>
          </cell>
          <cell r="B76">
            <v>492850</v>
          </cell>
        </row>
        <row r="77">
          <cell r="A77" t="str">
            <v>MADINTY2</v>
          </cell>
          <cell r="B77">
            <v>175607</v>
          </cell>
        </row>
        <row r="78">
          <cell r="A78" t="str">
            <v>Madinaty_Strip</v>
          </cell>
          <cell r="B78">
            <v>144790</v>
          </cell>
        </row>
        <row r="79">
          <cell r="A79" t="str">
            <v>TenthOfRamadan</v>
          </cell>
          <cell r="B79">
            <v>268822</v>
          </cell>
        </row>
        <row r="80">
          <cell r="A80" t="str">
            <v>AIRPORT</v>
          </cell>
          <cell r="B80">
            <v>574818</v>
          </cell>
        </row>
        <row r="81">
          <cell r="A81" t="str">
            <v>NewDamietta</v>
          </cell>
          <cell r="B81">
            <v>790525.19000000006</v>
          </cell>
        </row>
        <row r="82">
          <cell r="A82" t="str">
            <v>AL-SHAHID2</v>
          </cell>
          <cell r="B82">
            <v>522203.5</v>
          </cell>
        </row>
        <row r="83">
          <cell r="A83" t="str">
            <v>Kafr2</v>
          </cell>
          <cell r="B83">
            <v>296693</v>
          </cell>
        </row>
        <row r="84">
          <cell r="A84" t="str">
            <v>Elsanhoury1</v>
          </cell>
          <cell r="B84">
            <v>212099.5</v>
          </cell>
        </row>
        <row r="85">
          <cell r="A85" t="str">
            <v>Shinzo3</v>
          </cell>
          <cell r="B85">
            <v>132286.5</v>
          </cell>
        </row>
        <row r="86">
          <cell r="A86" t="str">
            <v>Batrawi2</v>
          </cell>
          <cell r="B86">
            <v>272823.98</v>
          </cell>
        </row>
        <row r="87">
          <cell r="A87" t="str">
            <v>Hegaz</v>
          </cell>
          <cell r="B87">
            <v>395222.5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A1" t="str">
            <v>Branch Name</v>
          </cell>
          <cell r="B1" t="str">
            <v>Total Sales LE</v>
          </cell>
        </row>
        <row r="2">
          <cell r="A2" t="str">
            <v>Nakheel</v>
          </cell>
          <cell r="B2">
            <v>626437</v>
          </cell>
        </row>
        <row r="3">
          <cell r="A3" t="str">
            <v>ISMAILIA_GATE</v>
          </cell>
          <cell r="B3">
            <v>294283</v>
          </cell>
        </row>
        <row r="4">
          <cell r="A4" t="str">
            <v>K27</v>
          </cell>
          <cell r="B4">
            <v>113018</v>
          </cell>
        </row>
        <row r="5">
          <cell r="A5" t="str">
            <v>Alahly2</v>
          </cell>
          <cell r="B5">
            <v>174628.7</v>
          </cell>
        </row>
        <row r="6">
          <cell r="A6" t="str">
            <v>MADINTY1</v>
          </cell>
          <cell r="B6">
            <v>322074</v>
          </cell>
        </row>
        <row r="7">
          <cell r="A7" t="str">
            <v>MADINTY3</v>
          </cell>
          <cell r="B7">
            <v>155729</v>
          </cell>
        </row>
        <row r="8">
          <cell r="A8" t="str">
            <v>G7</v>
          </cell>
          <cell r="B8">
            <v>252357.36</v>
          </cell>
        </row>
        <row r="9">
          <cell r="A9" t="str">
            <v>AlShorouk</v>
          </cell>
          <cell r="B9">
            <v>329760</v>
          </cell>
        </row>
        <row r="10">
          <cell r="A10" t="str">
            <v>AlAhly1</v>
          </cell>
          <cell r="B10">
            <v>125693</v>
          </cell>
        </row>
        <row r="11">
          <cell r="A11" t="str">
            <v>Dolphin</v>
          </cell>
          <cell r="B11">
            <v>345367</v>
          </cell>
        </row>
        <row r="12">
          <cell r="A12" t="str">
            <v>Bluepark</v>
          </cell>
          <cell r="B12">
            <v>85772</v>
          </cell>
        </row>
        <row r="13">
          <cell r="A13" t="str">
            <v>Sheraton</v>
          </cell>
          <cell r="B13">
            <v>359311.5</v>
          </cell>
        </row>
        <row r="14">
          <cell r="A14" t="str">
            <v>Jehan</v>
          </cell>
          <cell r="B14">
            <v>272249.5</v>
          </cell>
        </row>
        <row r="15">
          <cell r="A15" t="str">
            <v>Alamein3</v>
          </cell>
          <cell r="B15">
            <v>172513</v>
          </cell>
        </row>
        <row r="16">
          <cell r="A16" t="str">
            <v>Alex_Gate</v>
          </cell>
          <cell r="B16">
            <v>278851.5</v>
          </cell>
        </row>
        <row r="17">
          <cell r="A17" t="str">
            <v>Dokki</v>
          </cell>
          <cell r="B17">
            <v>263034</v>
          </cell>
        </row>
        <row r="18">
          <cell r="A18" t="str">
            <v>TRUMPH</v>
          </cell>
          <cell r="B18">
            <v>807679</v>
          </cell>
        </row>
        <row r="19">
          <cell r="A19" t="str">
            <v>Chillout_ElHorya</v>
          </cell>
          <cell r="B19">
            <v>291844</v>
          </cell>
        </row>
        <row r="20">
          <cell r="A20" t="str">
            <v>Ismailia_Gate2</v>
          </cell>
          <cell r="B20">
            <v>335046.5</v>
          </cell>
        </row>
        <row r="21">
          <cell r="A21" t="str">
            <v>Sheraton walk</v>
          </cell>
          <cell r="B21">
            <v>246048</v>
          </cell>
        </row>
        <row r="22">
          <cell r="A22" t="str">
            <v>Roxy</v>
          </cell>
          <cell r="B22">
            <v>255772.5</v>
          </cell>
        </row>
        <row r="23">
          <cell r="A23" t="str">
            <v>UH</v>
          </cell>
          <cell r="B23">
            <v>22118</v>
          </cell>
        </row>
        <row r="24">
          <cell r="A24" t="str">
            <v>Gesr</v>
          </cell>
          <cell r="B24">
            <v>194014</v>
          </cell>
        </row>
        <row r="25">
          <cell r="A25" t="str">
            <v>Josip</v>
          </cell>
          <cell r="B25">
            <v>230189</v>
          </cell>
        </row>
        <row r="26">
          <cell r="A26" t="str">
            <v>Mivida2</v>
          </cell>
          <cell r="B26">
            <v>180028</v>
          </cell>
        </row>
        <row r="27">
          <cell r="A27" t="str">
            <v>ElGabakhana</v>
          </cell>
          <cell r="B27">
            <v>339060</v>
          </cell>
        </row>
        <row r="28">
          <cell r="A28" t="str">
            <v>Police_Academy</v>
          </cell>
          <cell r="B28">
            <v>199503</v>
          </cell>
        </row>
        <row r="29">
          <cell r="A29" t="str">
            <v>Adeer</v>
          </cell>
          <cell r="B29">
            <v>99559</v>
          </cell>
        </row>
        <row r="30">
          <cell r="A30" t="str">
            <v>CHILL2</v>
          </cell>
          <cell r="B30">
            <v>483914</v>
          </cell>
        </row>
        <row r="31">
          <cell r="A31" t="str">
            <v>Shazly</v>
          </cell>
          <cell r="B31">
            <v>347911</v>
          </cell>
        </row>
        <row r="32">
          <cell r="A32" t="str">
            <v>AL-REHAB</v>
          </cell>
          <cell r="B32">
            <v>990614</v>
          </cell>
        </row>
        <row r="33">
          <cell r="A33" t="str">
            <v>Zamalek_MP</v>
          </cell>
          <cell r="B33">
            <v>170081.5</v>
          </cell>
        </row>
        <row r="34">
          <cell r="A34" t="str">
            <v>Batrawi1</v>
          </cell>
          <cell r="B34">
            <v>140833</v>
          </cell>
        </row>
        <row r="35">
          <cell r="A35" t="str">
            <v>Midor</v>
          </cell>
          <cell r="B35">
            <v>1129121</v>
          </cell>
        </row>
        <row r="36">
          <cell r="A36" t="str">
            <v>Sadat</v>
          </cell>
          <cell r="B36">
            <v>693011.5</v>
          </cell>
        </row>
        <row r="37">
          <cell r="A37" t="str">
            <v>Elnahas2</v>
          </cell>
          <cell r="B37">
            <v>183937</v>
          </cell>
        </row>
        <row r="38">
          <cell r="A38" t="str">
            <v>NewCapital</v>
          </cell>
          <cell r="B38">
            <v>39527</v>
          </cell>
        </row>
        <row r="39">
          <cell r="A39" t="str">
            <v>Chillout_Sharm</v>
          </cell>
          <cell r="B39">
            <v>125190</v>
          </cell>
        </row>
        <row r="40">
          <cell r="A40" t="str">
            <v>MERGHANY</v>
          </cell>
          <cell r="B40">
            <v>53310</v>
          </cell>
        </row>
        <row r="41">
          <cell r="A41" t="str">
            <v>Shinzo1</v>
          </cell>
          <cell r="B41">
            <v>390155</v>
          </cell>
        </row>
        <row r="42">
          <cell r="A42" t="str">
            <v>Maadimobil</v>
          </cell>
          <cell r="B42">
            <v>618714</v>
          </cell>
        </row>
        <row r="43">
          <cell r="A43" t="str">
            <v>Elshams</v>
          </cell>
          <cell r="B43">
            <v>179245</v>
          </cell>
        </row>
        <row r="44">
          <cell r="A44" t="str">
            <v>KERSH</v>
          </cell>
          <cell r="B44">
            <v>355608</v>
          </cell>
        </row>
        <row r="45">
          <cell r="A45" t="str">
            <v>ELMAX</v>
          </cell>
          <cell r="B45">
            <v>97251</v>
          </cell>
        </row>
        <row r="46">
          <cell r="A46" t="str">
            <v>AL-SHAHID1</v>
          </cell>
          <cell r="B46">
            <v>675211.5</v>
          </cell>
        </row>
        <row r="47">
          <cell r="A47" t="str">
            <v>Kafrawy</v>
          </cell>
          <cell r="B47">
            <v>211205</v>
          </cell>
        </row>
        <row r="48">
          <cell r="A48" t="str">
            <v>CITYSCAPE</v>
          </cell>
          <cell r="B48">
            <v>101625</v>
          </cell>
        </row>
        <row r="49">
          <cell r="A49" t="str">
            <v>CFC</v>
          </cell>
          <cell r="B49">
            <v>1012365.5</v>
          </cell>
        </row>
        <row r="50">
          <cell r="A50" t="str">
            <v>SuperJet</v>
          </cell>
          <cell r="B50">
            <v>154235</v>
          </cell>
        </row>
        <row r="51">
          <cell r="A51" t="str">
            <v>Sheraton_Stirp</v>
          </cell>
          <cell r="B51">
            <v>125854</v>
          </cell>
        </row>
        <row r="52">
          <cell r="A52" t="str">
            <v>BUE</v>
          </cell>
          <cell r="B52">
            <v>16954</v>
          </cell>
        </row>
        <row r="53">
          <cell r="A53" t="str">
            <v>Chillout_Tayaran</v>
          </cell>
          <cell r="B53">
            <v>159953.5</v>
          </cell>
        </row>
        <row r="54">
          <cell r="A54" t="str">
            <v>AUC</v>
          </cell>
          <cell r="B54">
            <v>458684</v>
          </cell>
        </row>
        <row r="55">
          <cell r="A55" t="str">
            <v>K23</v>
          </cell>
          <cell r="B55">
            <v>96111</v>
          </cell>
        </row>
        <row r="56">
          <cell r="A56" t="str">
            <v>MoharamBek</v>
          </cell>
          <cell r="B56">
            <v>491732</v>
          </cell>
        </row>
        <row r="57">
          <cell r="A57" t="str">
            <v>Kafrawy2</v>
          </cell>
          <cell r="B57">
            <v>290987</v>
          </cell>
        </row>
        <row r="58">
          <cell r="A58" t="str">
            <v>Tanta</v>
          </cell>
          <cell r="B58">
            <v>246065.5</v>
          </cell>
        </row>
        <row r="59">
          <cell r="A59" t="str">
            <v>Heliopolis</v>
          </cell>
          <cell r="B59">
            <v>102774</v>
          </cell>
        </row>
        <row r="60">
          <cell r="A60" t="str">
            <v>WAHA2</v>
          </cell>
          <cell r="B60">
            <v>113378</v>
          </cell>
        </row>
        <row r="61">
          <cell r="A61" t="str">
            <v>Dunes</v>
          </cell>
          <cell r="B61">
            <v>387963.5</v>
          </cell>
        </row>
        <row r="62">
          <cell r="A62" t="str">
            <v>Damietta2</v>
          </cell>
          <cell r="B62">
            <v>344414</v>
          </cell>
        </row>
        <row r="63">
          <cell r="A63" t="str">
            <v>Smart</v>
          </cell>
          <cell r="B63">
            <v>122120</v>
          </cell>
        </row>
        <row r="64">
          <cell r="A64" t="str">
            <v>GREEN PARK</v>
          </cell>
          <cell r="B64">
            <v>229022</v>
          </cell>
        </row>
        <row r="65">
          <cell r="A65" t="str">
            <v>Assuit2</v>
          </cell>
          <cell r="B65">
            <v>87296</v>
          </cell>
        </row>
        <row r="66">
          <cell r="A66" t="str">
            <v>Pgardens</v>
          </cell>
          <cell r="B66">
            <v>787191</v>
          </cell>
        </row>
        <row r="67">
          <cell r="A67" t="str">
            <v>K38</v>
          </cell>
          <cell r="B67">
            <v>209828</v>
          </cell>
        </row>
        <row r="68">
          <cell r="A68" t="str">
            <v>TahiaMIsr2</v>
          </cell>
          <cell r="B68">
            <v>306332</v>
          </cell>
        </row>
        <row r="69">
          <cell r="A69" t="str">
            <v>M3Morah</v>
          </cell>
          <cell r="B69">
            <v>114539</v>
          </cell>
        </row>
        <row r="70">
          <cell r="A70" t="str">
            <v>ElObour1</v>
          </cell>
          <cell r="B70">
            <v>429311.5</v>
          </cell>
        </row>
        <row r="71">
          <cell r="A71" t="str">
            <v>Shinzo2</v>
          </cell>
          <cell r="B71">
            <v>184684</v>
          </cell>
        </row>
        <row r="72">
          <cell r="A72" t="str">
            <v>NOBARIA</v>
          </cell>
          <cell r="B72">
            <v>411989</v>
          </cell>
        </row>
        <row r="73">
          <cell r="A73" t="str">
            <v>Elsanhoury2</v>
          </cell>
          <cell r="B73">
            <v>82834</v>
          </cell>
        </row>
        <row r="74">
          <cell r="A74" t="str">
            <v>Sodic_WMC</v>
          </cell>
          <cell r="B74">
            <v>267011</v>
          </cell>
        </row>
        <row r="75">
          <cell r="A75" t="str">
            <v>Assiut</v>
          </cell>
          <cell r="B75">
            <v>128813</v>
          </cell>
        </row>
        <row r="76">
          <cell r="A76" t="str">
            <v>K21</v>
          </cell>
          <cell r="B76">
            <v>283828</v>
          </cell>
        </row>
        <row r="77">
          <cell r="A77" t="str">
            <v>MADINTY2</v>
          </cell>
          <cell r="B77">
            <v>134011</v>
          </cell>
        </row>
        <row r="78">
          <cell r="A78" t="str">
            <v>Madinaty_Strip</v>
          </cell>
          <cell r="B78">
            <v>90133</v>
          </cell>
        </row>
        <row r="79">
          <cell r="A79" t="str">
            <v>TenthOfRamadan</v>
          </cell>
          <cell r="B79">
            <v>220053</v>
          </cell>
        </row>
        <row r="80">
          <cell r="A80" t="str">
            <v>AIRPORT</v>
          </cell>
          <cell r="B80">
            <v>288665.5</v>
          </cell>
        </row>
        <row r="81">
          <cell r="A81" t="str">
            <v>NewDamietta</v>
          </cell>
          <cell r="B81">
            <v>399193</v>
          </cell>
        </row>
        <row r="82">
          <cell r="A82" t="str">
            <v>AL-SHAHID2</v>
          </cell>
          <cell r="B82">
            <v>251649.5</v>
          </cell>
        </row>
        <row r="83">
          <cell r="A83" t="str">
            <v>Kafr2</v>
          </cell>
          <cell r="B83">
            <v>160784</v>
          </cell>
        </row>
        <row r="84">
          <cell r="A84" t="str">
            <v>Shinzo3</v>
          </cell>
          <cell r="B84">
            <v>73508</v>
          </cell>
        </row>
        <row r="85">
          <cell r="A85" t="str">
            <v>Elsanhoury1</v>
          </cell>
          <cell r="B85">
            <v>111531</v>
          </cell>
        </row>
        <row r="86">
          <cell r="A86" t="str">
            <v>Batrawi2</v>
          </cell>
          <cell r="B86">
            <v>169211</v>
          </cell>
        </row>
        <row r="87">
          <cell r="A87" t="str">
            <v>Hegaz</v>
          </cell>
          <cell r="B87">
            <v>315003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A1" t="str">
            <v>Branch Name</v>
          </cell>
          <cell r="B1" t="str">
            <v>Total Sales LE</v>
          </cell>
        </row>
        <row r="2">
          <cell r="A2" t="str">
            <v>Nakheel</v>
          </cell>
          <cell r="B2">
            <v>1136803</v>
          </cell>
        </row>
        <row r="3">
          <cell r="A3" t="str">
            <v>ISMAILIA_GATE</v>
          </cell>
          <cell r="B3">
            <v>661660</v>
          </cell>
        </row>
        <row r="4">
          <cell r="A4" t="str">
            <v>K27</v>
          </cell>
          <cell r="B4">
            <v>200538</v>
          </cell>
        </row>
        <row r="5">
          <cell r="A5" t="str">
            <v>Alahly2</v>
          </cell>
          <cell r="B5">
            <v>191702.72</v>
          </cell>
        </row>
        <row r="6">
          <cell r="A6" t="str">
            <v>MADINTY1</v>
          </cell>
          <cell r="B6">
            <v>500902</v>
          </cell>
        </row>
        <row r="7">
          <cell r="A7" t="str">
            <v>MADINTY3</v>
          </cell>
          <cell r="B7">
            <v>261146</v>
          </cell>
        </row>
        <row r="8">
          <cell r="A8" t="str">
            <v>G7</v>
          </cell>
          <cell r="B8">
            <v>360181</v>
          </cell>
        </row>
        <row r="9">
          <cell r="A9" t="str">
            <v>AlShorouk</v>
          </cell>
          <cell r="B9">
            <v>535988</v>
          </cell>
        </row>
        <row r="10">
          <cell r="A10" t="str">
            <v>AlAhly1</v>
          </cell>
          <cell r="B10">
            <v>143437</v>
          </cell>
        </row>
        <row r="11">
          <cell r="A11" t="str">
            <v>Dolphin</v>
          </cell>
          <cell r="B11">
            <v>496455</v>
          </cell>
        </row>
        <row r="12">
          <cell r="A12" t="str">
            <v>Bluepark</v>
          </cell>
          <cell r="B12">
            <v>125615</v>
          </cell>
        </row>
        <row r="13">
          <cell r="A13" t="str">
            <v>Sheraton</v>
          </cell>
          <cell r="B13">
            <v>534338</v>
          </cell>
        </row>
        <row r="14">
          <cell r="A14" t="str">
            <v>Jehan</v>
          </cell>
          <cell r="B14">
            <v>398421</v>
          </cell>
        </row>
        <row r="15">
          <cell r="A15" t="str">
            <v>Alamein3</v>
          </cell>
          <cell r="B15">
            <v>544646</v>
          </cell>
        </row>
        <row r="16">
          <cell r="A16" t="str">
            <v>Alex_Gate</v>
          </cell>
          <cell r="B16">
            <v>624616</v>
          </cell>
        </row>
        <row r="17">
          <cell r="A17" t="str">
            <v>Dokki</v>
          </cell>
          <cell r="B17">
            <v>411293</v>
          </cell>
        </row>
        <row r="18">
          <cell r="A18" t="str">
            <v>TRUMPH</v>
          </cell>
          <cell r="B18">
            <v>1717882.5</v>
          </cell>
        </row>
        <row r="19">
          <cell r="A19" t="str">
            <v>Chillout_ElHorya</v>
          </cell>
          <cell r="B19">
            <v>635536</v>
          </cell>
        </row>
        <row r="20">
          <cell r="A20" t="str">
            <v>Ismailia_Gate2</v>
          </cell>
          <cell r="B20">
            <v>882670</v>
          </cell>
        </row>
        <row r="21">
          <cell r="A21" t="str">
            <v>Sheraton walk</v>
          </cell>
          <cell r="B21">
            <v>456340</v>
          </cell>
        </row>
        <row r="22">
          <cell r="A22" t="str">
            <v>Roxy</v>
          </cell>
          <cell r="B22">
            <v>432221</v>
          </cell>
        </row>
        <row r="23">
          <cell r="A23" t="str">
            <v>UH</v>
          </cell>
          <cell r="B23">
            <v>144332</v>
          </cell>
        </row>
        <row r="24">
          <cell r="A24" t="str">
            <v>Gesr</v>
          </cell>
          <cell r="B24">
            <v>355110</v>
          </cell>
        </row>
        <row r="25">
          <cell r="A25" t="str">
            <v>Josip</v>
          </cell>
          <cell r="B25">
            <v>374112</v>
          </cell>
        </row>
        <row r="26">
          <cell r="A26" t="str">
            <v>Mivida2</v>
          </cell>
          <cell r="B26">
            <v>283925</v>
          </cell>
        </row>
        <row r="27">
          <cell r="A27" t="str">
            <v>ElGabakhana</v>
          </cell>
          <cell r="B27">
            <v>583383</v>
          </cell>
        </row>
        <row r="28">
          <cell r="A28" t="str">
            <v>Police_Academy</v>
          </cell>
          <cell r="B28">
            <v>318348</v>
          </cell>
        </row>
        <row r="29">
          <cell r="A29" t="str">
            <v>Adeer</v>
          </cell>
          <cell r="B29">
            <v>161771</v>
          </cell>
        </row>
        <row r="30">
          <cell r="A30" t="str">
            <v>CHILL2</v>
          </cell>
          <cell r="B30">
            <v>1276935</v>
          </cell>
        </row>
        <row r="31">
          <cell r="A31" t="str">
            <v>Shazly</v>
          </cell>
          <cell r="B31">
            <v>699421</v>
          </cell>
        </row>
        <row r="32">
          <cell r="A32" t="str">
            <v>AL-REHAB</v>
          </cell>
          <cell r="B32">
            <v>1597036</v>
          </cell>
        </row>
        <row r="33">
          <cell r="A33" t="str">
            <v>Zamalek_MP</v>
          </cell>
          <cell r="B33">
            <v>361704</v>
          </cell>
        </row>
        <row r="34">
          <cell r="A34" t="str">
            <v>Batrawi1</v>
          </cell>
          <cell r="B34">
            <v>160471</v>
          </cell>
        </row>
        <row r="35">
          <cell r="A35" t="str">
            <v>Midor</v>
          </cell>
          <cell r="B35">
            <v>1750297</v>
          </cell>
        </row>
        <row r="36">
          <cell r="A36" t="str">
            <v>Sadat</v>
          </cell>
          <cell r="B36">
            <v>1058541</v>
          </cell>
        </row>
        <row r="37">
          <cell r="A37" t="str">
            <v>Elnahas2</v>
          </cell>
          <cell r="B37">
            <v>219108</v>
          </cell>
        </row>
        <row r="38">
          <cell r="A38" t="str">
            <v>NewCapital</v>
          </cell>
          <cell r="B38">
            <v>227026</v>
          </cell>
        </row>
        <row r="39">
          <cell r="A39" t="str">
            <v>MERGHANY</v>
          </cell>
          <cell r="B39">
            <v>81480</v>
          </cell>
        </row>
        <row r="40">
          <cell r="A40" t="str">
            <v>Chillout_Sharm</v>
          </cell>
          <cell r="B40">
            <v>268545.5</v>
          </cell>
        </row>
        <row r="41">
          <cell r="A41" t="str">
            <v>Maadimobil</v>
          </cell>
          <cell r="B41">
            <v>798163.5</v>
          </cell>
        </row>
        <row r="42">
          <cell r="A42" t="str">
            <v>Shinzo1</v>
          </cell>
          <cell r="B42">
            <v>356051</v>
          </cell>
        </row>
        <row r="43">
          <cell r="A43" t="str">
            <v>Elshams</v>
          </cell>
          <cell r="B43">
            <v>242981</v>
          </cell>
        </row>
        <row r="44">
          <cell r="A44" t="str">
            <v>ELMAX</v>
          </cell>
          <cell r="B44">
            <v>139234</v>
          </cell>
        </row>
        <row r="45">
          <cell r="A45" t="str">
            <v>KERSH</v>
          </cell>
          <cell r="B45">
            <v>433253</v>
          </cell>
        </row>
        <row r="46">
          <cell r="A46" t="str">
            <v>AL-SHAHID1</v>
          </cell>
          <cell r="B46">
            <v>986529</v>
          </cell>
        </row>
        <row r="47">
          <cell r="A47" t="str">
            <v>CITYSCAPE</v>
          </cell>
          <cell r="B47">
            <v>135840</v>
          </cell>
        </row>
        <row r="48">
          <cell r="A48" t="str">
            <v>Kafrawy</v>
          </cell>
          <cell r="B48">
            <v>294875</v>
          </cell>
        </row>
        <row r="49">
          <cell r="A49" t="str">
            <v>CFC</v>
          </cell>
          <cell r="B49">
            <v>1553461</v>
          </cell>
        </row>
        <row r="50">
          <cell r="A50" t="str">
            <v>SuperJet</v>
          </cell>
          <cell r="B50">
            <v>217113</v>
          </cell>
        </row>
        <row r="51">
          <cell r="A51" t="str">
            <v>Sheraton_Stirp</v>
          </cell>
          <cell r="B51">
            <v>172654</v>
          </cell>
        </row>
        <row r="52">
          <cell r="A52" t="str">
            <v>BUE</v>
          </cell>
          <cell r="B52">
            <v>91205</v>
          </cell>
        </row>
        <row r="53">
          <cell r="A53" t="str">
            <v>AUC</v>
          </cell>
          <cell r="B53">
            <v>803261</v>
          </cell>
        </row>
        <row r="54">
          <cell r="A54" t="str">
            <v>Chillout_Tayaran</v>
          </cell>
          <cell r="B54">
            <v>267420</v>
          </cell>
        </row>
        <row r="55">
          <cell r="A55" t="str">
            <v>K23</v>
          </cell>
          <cell r="B55">
            <v>237243</v>
          </cell>
        </row>
        <row r="56">
          <cell r="A56" t="str">
            <v>MoharamBek</v>
          </cell>
          <cell r="B56">
            <v>1079973</v>
          </cell>
        </row>
        <row r="57">
          <cell r="A57" t="str">
            <v>Kafrawy2</v>
          </cell>
          <cell r="B57">
            <v>395643</v>
          </cell>
        </row>
        <row r="58">
          <cell r="A58" t="str">
            <v>Tanta</v>
          </cell>
          <cell r="B58">
            <v>419939</v>
          </cell>
        </row>
        <row r="59">
          <cell r="A59" t="str">
            <v>WAHA2</v>
          </cell>
          <cell r="B59">
            <v>1036089</v>
          </cell>
        </row>
        <row r="60">
          <cell r="A60" t="str">
            <v>Heliopolis</v>
          </cell>
          <cell r="B60">
            <v>156297</v>
          </cell>
        </row>
        <row r="61">
          <cell r="A61" t="str">
            <v>Dunes</v>
          </cell>
          <cell r="B61">
            <v>610975</v>
          </cell>
        </row>
        <row r="62">
          <cell r="A62" t="str">
            <v>Damietta2</v>
          </cell>
          <cell r="B62">
            <v>562912.25</v>
          </cell>
        </row>
        <row r="63">
          <cell r="A63" t="str">
            <v>Smart</v>
          </cell>
          <cell r="B63">
            <v>280834</v>
          </cell>
        </row>
        <row r="64">
          <cell r="A64" t="str">
            <v>GREEN PARK</v>
          </cell>
          <cell r="B64">
            <v>307509</v>
          </cell>
        </row>
        <row r="65">
          <cell r="A65" t="str">
            <v>Assuit2</v>
          </cell>
          <cell r="B65">
            <v>219283</v>
          </cell>
        </row>
        <row r="66">
          <cell r="A66" t="str">
            <v>Pgardens</v>
          </cell>
          <cell r="B66">
            <v>1423369</v>
          </cell>
        </row>
        <row r="67">
          <cell r="A67" t="str">
            <v>K38</v>
          </cell>
          <cell r="B67">
            <v>678844</v>
          </cell>
        </row>
        <row r="68">
          <cell r="A68" t="str">
            <v>TahiaMIsr2</v>
          </cell>
          <cell r="B68">
            <v>487242</v>
          </cell>
        </row>
        <row r="69">
          <cell r="A69" t="str">
            <v>M3Morah</v>
          </cell>
          <cell r="B69">
            <v>157876</v>
          </cell>
        </row>
        <row r="70">
          <cell r="A70" t="str">
            <v>ElObour1</v>
          </cell>
          <cell r="B70">
            <v>650701</v>
          </cell>
        </row>
        <row r="71">
          <cell r="A71" t="str">
            <v>Shinzo2</v>
          </cell>
          <cell r="B71">
            <v>276701.5</v>
          </cell>
        </row>
        <row r="72">
          <cell r="A72" t="str">
            <v>NOBARIA</v>
          </cell>
          <cell r="B72">
            <v>1094214</v>
          </cell>
        </row>
        <row r="73">
          <cell r="A73" t="str">
            <v>Elsanhoury2</v>
          </cell>
          <cell r="B73">
            <v>113922</v>
          </cell>
        </row>
        <row r="74">
          <cell r="A74" t="str">
            <v>Sodic_WMC</v>
          </cell>
          <cell r="B74">
            <v>462306</v>
          </cell>
        </row>
        <row r="75">
          <cell r="A75" t="str">
            <v>Assiut</v>
          </cell>
          <cell r="B75">
            <v>240618</v>
          </cell>
        </row>
        <row r="76">
          <cell r="A76" t="str">
            <v>K21</v>
          </cell>
          <cell r="B76">
            <v>638905</v>
          </cell>
        </row>
        <row r="77">
          <cell r="A77" t="str">
            <v>MADINTY2</v>
          </cell>
          <cell r="B77">
            <v>186596</v>
          </cell>
        </row>
        <row r="78">
          <cell r="A78" t="str">
            <v>Madinaty_Strip</v>
          </cell>
          <cell r="B78">
            <v>147500</v>
          </cell>
        </row>
        <row r="79">
          <cell r="A79" t="str">
            <v>TenthOfRamadan</v>
          </cell>
          <cell r="B79">
            <v>292538</v>
          </cell>
        </row>
        <row r="80">
          <cell r="A80" t="str">
            <v>AIRPORT</v>
          </cell>
          <cell r="B80">
            <v>498431</v>
          </cell>
        </row>
        <row r="81">
          <cell r="A81" t="str">
            <v>NewDamietta</v>
          </cell>
          <cell r="B81">
            <v>766856</v>
          </cell>
        </row>
        <row r="82">
          <cell r="A82" t="str">
            <v>Kafr2</v>
          </cell>
          <cell r="B82">
            <v>417480</v>
          </cell>
        </row>
        <row r="83">
          <cell r="A83" t="str">
            <v>AL-SHAHID2</v>
          </cell>
          <cell r="B83">
            <v>324525</v>
          </cell>
        </row>
        <row r="84">
          <cell r="A84" t="str">
            <v>Shinzo3</v>
          </cell>
          <cell r="B84">
            <v>121417</v>
          </cell>
        </row>
        <row r="85">
          <cell r="A85" t="str">
            <v>Elsanhoury1</v>
          </cell>
          <cell r="B85">
            <v>156432</v>
          </cell>
        </row>
        <row r="86">
          <cell r="A86" t="str">
            <v>Batrawi2</v>
          </cell>
          <cell r="B86">
            <v>215238</v>
          </cell>
        </row>
        <row r="87">
          <cell r="A87" t="str">
            <v>Hegaz</v>
          </cell>
          <cell r="B87">
            <v>283173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A1" t="str">
            <v>Branch Name</v>
          </cell>
          <cell r="B1" t="str">
            <v>Total Sales LE</v>
          </cell>
        </row>
        <row r="2">
          <cell r="A2" t="str">
            <v>Nakheel</v>
          </cell>
          <cell r="B2">
            <v>610265.25000000023</v>
          </cell>
        </row>
        <row r="3">
          <cell r="A3" t="str">
            <v>ISMAILIA_GATE</v>
          </cell>
          <cell r="B3">
            <v>352440</v>
          </cell>
        </row>
        <row r="4">
          <cell r="A4" t="str">
            <v>K27</v>
          </cell>
          <cell r="B4">
            <v>113412.17999999995</v>
          </cell>
        </row>
        <row r="5">
          <cell r="A5" t="str">
            <v>Alahly2</v>
          </cell>
          <cell r="B5">
            <v>140513</v>
          </cell>
        </row>
        <row r="6">
          <cell r="A6" t="str">
            <v>MADINTY1</v>
          </cell>
          <cell r="B6">
            <v>293257.02999999997</v>
          </cell>
        </row>
        <row r="7">
          <cell r="A7" t="str">
            <v>MADINTY3</v>
          </cell>
          <cell r="B7">
            <v>130943</v>
          </cell>
        </row>
        <row r="8">
          <cell r="A8" t="str">
            <v>G7</v>
          </cell>
          <cell r="B8">
            <v>192833</v>
          </cell>
        </row>
        <row r="9">
          <cell r="A9" t="str">
            <v>AlAhly1</v>
          </cell>
          <cell r="B9">
            <v>127039</v>
          </cell>
        </row>
        <row r="10">
          <cell r="A10" t="str">
            <v>AlShorouk</v>
          </cell>
          <cell r="B10">
            <v>343821.20000000007</v>
          </cell>
        </row>
        <row r="11">
          <cell r="A11" t="str">
            <v>Dolphin</v>
          </cell>
          <cell r="B11">
            <v>297708</v>
          </cell>
        </row>
        <row r="12">
          <cell r="A12" t="str">
            <v>Bluepark</v>
          </cell>
          <cell r="B12">
            <v>65353</v>
          </cell>
        </row>
        <row r="13">
          <cell r="A13" t="str">
            <v>Sheraton</v>
          </cell>
          <cell r="B13">
            <v>277303</v>
          </cell>
        </row>
        <row r="14">
          <cell r="A14" t="str">
            <v>Jehan</v>
          </cell>
          <cell r="B14">
            <v>272169.18000000005</v>
          </cell>
        </row>
        <row r="15">
          <cell r="A15" t="str">
            <v>Alamein3</v>
          </cell>
          <cell r="B15">
            <v>397110</v>
          </cell>
        </row>
        <row r="16">
          <cell r="A16" t="str">
            <v>WAHA-CITY</v>
          </cell>
          <cell r="B16">
            <v>32015</v>
          </cell>
        </row>
        <row r="17">
          <cell r="A17" t="str">
            <v>Alex_Gate</v>
          </cell>
          <cell r="B17">
            <v>313665.95</v>
          </cell>
        </row>
        <row r="18">
          <cell r="A18" t="str">
            <v>Dokki</v>
          </cell>
          <cell r="B18">
            <v>148149.72</v>
          </cell>
        </row>
        <row r="19">
          <cell r="A19" t="str">
            <v>TRUMPH</v>
          </cell>
          <cell r="B19">
            <v>1053322.5</v>
          </cell>
        </row>
        <row r="20">
          <cell r="A20" t="str">
            <v>Chillout_ElHorya</v>
          </cell>
          <cell r="B20">
            <v>362819</v>
          </cell>
        </row>
        <row r="21">
          <cell r="A21" t="str">
            <v>Ismailia_Gate2</v>
          </cell>
          <cell r="B21">
            <v>463903.97000000038</v>
          </cell>
        </row>
        <row r="22">
          <cell r="A22" t="str">
            <v>Sheraton walk</v>
          </cell>
          <cell r="B22">
            <v>201015.03</v>
          </cell>
        </row>
        <row r="23">
          <cell r="A23" t="str">
            <v>Roxy</v>
          </cell>
          <cell r="B23">
            <v>190611.04</v>
          </cell>
        </row>
        <row r="24">
          <cell r="A24" t="str">
            <v>UH</v>
          </cell>
          <cell r="B24">
            <v>24988</v>
          </cell>
        </row>
        <row r="25">
          <cell r="A25" t="str">
            <v>Gesr</v>
          </cell>
          <cell r="B25">
            <v>182274.18000000002</v>
          </cell>
        </row>
        <row r="26">
          <cell r="A26" t="str">
            <v>Josip</v>
          </cell>
          <cell r="B26">
            <v>185643</v>
          </cell>
        </row>
        <row r="27">
          <cell r="A27" t="str">
            <v>Mivida2</v>
          </cell>
          <cell r="B27">
            <v>192706</v>
          </cell>
        </row>
        <row r="28">
          <cell r="A28" t="str">
            <v>ElGabakhana</v>
          </cell>
          <cell r="B28">
            <v>405585.97000000032</v>
          </cell>
        </row>
        <row r="29">
          <cell r="A29" t="str">
            <v>Police_Academy</v>
          </cell>
          <cell r="B29">
            <v>174232</v>
          </cell>
        </row>
        <row r="30">
          <cell r="A30" t="str">
            <v>Adeer</v>
          </cell>
          <cell r="B30">
            <v>77624.029999999984</v>
          </cell>
        </row>
        <row r="31">
          <cell r="A31" t="str">
            <v>CHILL2</v>
          </cell>
          <cell r="B31">
            <v>635559.22</v>
          </cell>
        </row>
        <row r="32">
          <cell r="A32" t="str">
            <v>Shazly</v>
          </cell>
          <cell r="B32">
            <v>393754.92000000004</v>
          </cell>
        </row>
        <row r="33">
          <cell r="A33" t="str">
            <v>AL-REHAB</v>
          </cell>
          <cell r="B33">
            <v>979010.75000000047</v>
          </cell>
        </row>
        <row r="34">
          <cell r="A34" t="str">
            <v>Zamalek_MP</v>
          </cell>
          <cell r="B34">
            <v>200980.16999999998</v>
          </cell>
        </row>
        <row r="35">
          <cell r="A35" t="str">
            <v>Batrawi1</v>
          </cell>
          <cell r="B35">
            <v>120255.31999999998</v>
          </cell>
        </row>
        <row r="36">
          <cell r="A36" t="str">
            <v>Midor</v>
          </cell>
          <cell r="B36">
            <v>1191930.9700000004</v>
          </cell>
        </row>
        <row r="37">
          <cell r="A37" t="str">
            <v>Sadat</v>
          </cell>
          <cell r="B37">
            <v>644337.99000000022</v>
          </cell>
        </row>
        <row r="38">
          <cell r="A38" t="str">
            <v>Elnahas2</v>
          </cell>
          <cell r="B38">
            <v>169651.12000000002</v>
          </cell>
        </row>
        <row r="39">
          <cell r="A39" t="str">
            <v>NewCapital</v>
          </cell>
          <cell r="B39">
            <v>212266.07</v>
          </cell>
        </row>
        <row r="40">
          <cell r="A40" t="str">
            <v>Chillout_Sharm</v>
          </cell>
          <cell r="B40">
            <v>164170.72999999992</v>
          </cell>
        </row>
        <row r="41">
          <cell r="A41" t="str">
            <v>MERGHANY</v>
          </cell>
          <cell r="B41">
            <v>31070</v>
          </cell>
        </row>
        <row r="42">
          <cell r="A42" t="str">
            <v>Maadimobil</v>
          </cell>
          <cell r="B42">
            <v>541101.24000000011</v>
          </cell>
        </row>
        <row r="43">
          <cell r="A43" t="str">
            <v>Shinzo1</v>
          </cell>
          <cell r="B43">
            <v>250916.15000000002</v>
          </cell>
        </row>
        <row r="44">
          <cell r="A44" t="str">
            <v>Elshams</v>
          </cell>
          <cell r="B44">
            <v>132965</v>
          </cell>
        </row>
        <row r="45">
          <cell r="A45" t="str">
            <v>KERSH</v>
          </cell>
          <cell r="B45">
            <v>254122</v>
          </cell>
        </row>
        <row r="46">
          <cell r="A46" t="str">
            <v>ELMAX</v>
          </cell>
          <cell r="B46">
            <v>86621</v>
          </cell>
        </row>
        <row r="47">
          <cell r="A47" t="str">
            <v>AL-SHAHID1</v>
          </cell>
          <cell r="B47">
            <v>611079.54000000027</v>
          </cell>
        </row>
        <row r="48">
          <cell r="A48" t="str">
            <v>Kafrawy</v>
          </cell>
          <cell r="B48">
            <v>182982.7</v>
          </cell>
        </row>
        <row r="49">
          <cell r="A49" t="str">
            <v>CITYSCAPE</v>
          </cell>
          <cell r="B49">
            <v>64752</v>
          </cell>
        </row>
        <row r="50">
          <cell r="A50" t="str">
            <v>CFC</v>
          </cell>
          <cell r="B50">
            <v>982144.38000000035</v>
          </cell>
        </row>
        <row r="51">
          <cell r="A51" t="str">
            <v>SuperJet</v>
          </cell>
          <cell r="B51">
            <v>145615</v>
          </cell>
        </row>
        <row r="52">
          <cell r="A52" t="str">
            <v>Sheraton_Stirp</v>
          </cell>
          <cell r="B52">
            <v>95570.229999999981</v>
          </cell>
        </row>
        <row r="53">
          <cell r="A53" t="str">
            <v>BUE</v>
          </cell>
          <cell r="B53">
            <v>19194</v>
          </cell>
        </row>
        <row r="54">
          <cell r="A54" t="str">
            <v>AUC</v>
          </cell>
          <cell r="B54">
            <v>511982.89</v>
          </cell>
        </row>
        <row r="55">
          <cell r="A55" t="str">
            <v>Chillout_Tayaran</v>
          </cell>
          <cell r="B55">
            <v>152845.01</v>
          </cell>
        </row>
        <row r="56">
          <cell r="A56" t="str">
            <v>K23</v>
          </cell>
          <cell r="B56">
            <v>96176.05</v>
          </cell>
        </row>
        <row r="57">
          <cell r="A57" t="str">
            <v>MoharamBek</v>
          </cell>
          <cell r="B57">
            <v>571004</v>
          </cell>
        </row>
        <row r="58">
          <cell r="A58" t="str">
            <v>Kafrawy2</v>
          </cell>
          <cell r="B58">
            <v>300642.28000000003</v>
          </cell>
        </row>
        <row r="59">
          <cell r="A59" t="str">
            <v>Tanta</v>
          </cell>
          <cell r="B59">
            <v>173555.46000000005</v>
          </cell>
        </row>
        <row r="60">
          <cell r="A60" t="str">
            <v>Heliopolis</v>
          </cell>
          <cell r="B60">
            <v>103960.03</v>
          </cell>
        </row>
        <row r="61">
          <cell r="A61" t="str">
            <v>WAHA2</v>
          </cell>
          <cell r="B61">
            <v>321246</v>
          </cell>
        </row>
        <row r="62">
          <cell r="A62" t="str">
            <v>Dunes</v>
          </cell>
          <cell r="B62">
            <v>401781.08000000019</v>
          </cell>
        </row>
        <row r="63">
          <cell r="A63" t="str">
            <v>Damietta2</v>
          </cell>
          <cell r="B63">
            <v>309279</v>
          </cell>
        </row>
        <row r="64">
          <cell r="A64" t="str">
            <v>Smart</v>
          </cell>
          <cell r="B64">
            <v>206469.04</v>
          </cell>
        </row>
        <row r="65">
          <cell r="A65" t="str">
            <v>GREEN PARK</v>
          </cell>
          <cell r="B65">
            <v>187462</v>
          </cell>
        </row>
        <row r="66">
          <cell r="A66" t="str">
            <v>Assuit2</v>
          </cell>
          <cell r="B66">
            <v>106805</v>
          </cell>
        </row>
        <row r="67">
          <cell r="A67" t="str">
            <v>Pgardens</v>
          </cell>
          <cell r="B67">
            <v>799216.87000000058</v>
          </cell>
        </row>
        <row r="68">
          <cell r="A68" t="str">
            <v>K38</v>
          </cell>
          <cell r="B68">
            <v>279113.17000000004</v>
          </cell>
        </row>
        <row r="69">
          <cell r="A69" t="str">
            <v>TahiaMIsr2</v>
          </cell>
          <cell r="B69">
            <v>326515.62</v>
          </cell>
        </row>
        <row r="70">
          <cell r="A70" t="str">
            <v>M3Morah</v>
          </cell>
          <cell r="B70">
            <v>95332.779999999941</v>
          </cell>
        </row>
        <row r="71">
          <cell r="A71" t="str">
            <v>ElObour1</v>
          </cell>
          <cell r="B71">
            <v>389866</v>
          </cell>
        </row>
        <row r="72">
          <cell r="A72" t="str">
            <v>Shinzo2</v>
          </cell>
          <cell r="B72">
            <v>170762.74</v>
          </cell>
        </row>
        <row r="73">
          <cell r="A73" t="str">
            <v>NOBARIA</v>
          </cell>
          <cell r="B73">
            <v>572067.05000000051</v>
          </cell>
        </row>
        <row r="74">
          <cell r="A74" t="str">
            <v>Elsanhoury2</v>
          </cell>
          <cell r="B74">
            <v>70299.08</v>
          </cell>
        </row>
        <row r="75">
          <cell r="A75" t="str">
            <v>Sodic_WMC</v>
          </cell>
          <cell r="B75">
            <v>290217.63000000006</v>
          </cell>
        </row>
        <row r="76">
          <cell r="A76" t="str">
            <v>Assiut</v>
          </cell>
          <cell r="B76">
            <v>99876</v>
          </cell>
        </row>
        <row r="77">
          <cell r="A77" t="str">
            <v>K21</v>
          </cell>
          <cell r="B77">
            <v>327444</v>
          </cell>
        </row>
        <row r="78">
          <cell r="A78" t="str">
            <v>MADINTY2</v>
          </cell>
          <cell r="B78">
            <v>107953</v>
          </cell>
        </row>
        <row r="79">
          <cell r="A79" t="str">
            <v>Madinaty_Strip</v>
          </cell>
          <cell r="B79">
            <v>88281.12</v>
          </cell>
        </row>
        <row r="80">
          <cell r="A80" t="str">
            <v>TenthOfRamadan</v>
          </cell>
          <cell r="B80">
            <v>143734</v>
          </cell>
        </row>
        <row r="81">
          <cell r="A81" t="str">
            <v>UPTOWN</v>
          </cell>
          <cell r="B81">
            <v>76972</v>
          </cell>
        </row>
        <row r="82">
          <cell r="A82" t="str">
            <v>AIRPORT</v>
          </cell>
          <cell r="B82">
            <v>318449</v>
          </cell>
        </row>
        <row r="83">
          <cell r="A83" t="str">
            <v>NewDamietta</v>
          </cell>
          <cell r="B83">
            <v>468078.0500000004</v>
          </cell>
        </row>
        <row r="84">
          <cell r="A84" t="str">
            <v>AL-SHAHID2</v>
          </cell>
          <cell r="B84">
            <v>316290</v>
          </cell>
        </row>
        <row r="85">
          <cell r="A85" t="str">
            <v>Kafr2</v>
          </cell>
          <cell r="B85">
            <v>170312</v>
          </cell>
        </row>
        <row r="86">
          <cell r="A86" t="str">
            <v>Elsanhoury1</v>
          </cell>
          <cell r="B86">
            <v>84294.2</v>
          </cell>
        </row>
        <row r="87">
          <cell r="A87" t="str">
            <v>Shinzo3</v>
          </cell>
          <cell r="B87">
            <v>77164.159999999989</v>
          </cell>
        </row>
        <row r="88">
          <cell r="A88" t="str">
            <v>Batrawi2</v>
          </cell>
          <cell r="B88">
            <v>132729</v>
          </cell>
        </row>
        <row r="89">
          <cell r="A89" t="str">
            <v>Hegaz</v>
          </cell>
          <cell r="B89">
            <v>164456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A1" t="str">
            <v>Branch Name</v>
          </cell>
          <cell r="B1" t="str">
            <v>Total Sales LE</v>
          </cell>
        </row>
        <row r="2">
          <cell r="A2" t="str">
            <v>Nakheel</v>
          </cell>
          <cell r="B2">
            <v>585441.04000000027</v>
          </cell>
        </row>
        <row r="3">
          <cell r="A3" t="str">
            <v>ISMAILIA_GATE</v>
          </cell>
          <cell r="B3">
            <v>345530</v>
          </cell>
        </row>
        <row r="4">
          <cell r="A4" t="str">
            <v>K27</v>
          </cell>
          <cell r="B4">
            <v>125812.84999999998</v>
          </cell>
        </row>
        <row r="5">
          <cell r="A5" t="str">
            <v>Alahly2</v>
          </cell>
          <cell r="B5">
            <v>69721.2</v>
          </cell>
        </row>
        <row r="6">
          <cell r="A6" t="str">
            <v>MADINTY1</v>
          </cell>
          <cell r="B6">
            <v>291608.12000000005</v>
          </cell>
        </row>
        <row r="7">
          <cell r="A7" t="str">
            <v>MADINTY3</v>
          </cell>
          <cell r="B7">
            <v>139428</v>
          </cell>
        </row>
        <row r="8">
          <cell r="A8" t="str">
            <v>G7</v>
          </cell>
          <cell r="B8">
            <v>201547.24000000002</v>
          </cell>
        </row>
        <row r="9">
          <cell r="A9" t="str">
            <v>AlShorouk</v>
          </cell>
          <cell r="B9">
            <v>319221</v>
          </cell>
        </row>
        <row r="10">
          <cell r="A10" t="str">
            <v>AlAhly1</v>
          </cell>
          <cell r="B10">
            <v>92836.219999999987</v>
          </cell>
        </row>
        <row r="11">
          <cell r="A11" t="str">
            <v>Dolphin</v>
          </cell>
          <cell r="B11">
            <v>244218.8</v>
          </cell>
        </row>
        <row r="12">
          <cell r="A12" t="str">
            <v>Bluepark</v>
          </cell>
          <cell r="B12">
            <v>88720</v>
          </cell>
        </row>
        <row r="13">
          <cell r="A13" t="str">
            <v>Sheraton</v>
          </cell>
          <cell r="B13">
            <v>271062</v>
          </cell>
        </row>
        <row r="14">
          <cell r="A14" t="str">
            <v>Jehan</v>
          </cell>
          <cell r="B14">
            <v>269244.76000000013</v>
          </cell>
        </row>
        <row r="15">
          <cell r="A15" t="str">
            <v>Alamein3</v>
          </cell>
          <cell r="B15">
            <v>667612.56000000006</v>
          </cell>
        </row>
        <row r="16">
          <cell r="A16" t="str">
            <v>WAHA-CITY</v>
          </cell>
          <cell r="B16">
            <v>142417</v>
          </cell>
        </row>
        <row r="17">
          <cell r="A17" t="str">
            <v>MarseiliaBeach4</v>
          </cell>
          <cell r="B17">
            <v>270354.20000000013</v>
          </cell>
        </row>
        <row r="18">
          <cell r="A18" t="str">
            <v>Alex_Gate</v>
          </cell>
          <cell r="B18">
            <v>548453</v>
          </cell>
        </row>
        <row r="19">
          <cell r="A19" t="str">
            <v>Dokki</v>
          </cell>
          <cell r="B19">
            <v>303618.2300000001</v>
          </cell>
        </row>
        <row r="20">
          <cell r="A20" t="str">
            <v>TRUMPH</v>
          </cell>
          <cell r="B20">
            <v>860978.5</v>
          </cell>
        </row>
        <row r="21">
          <cell r="A21" t="str">
            <v>Chillout_ElHorya</v>
          </cell>
          <cell r="B21">
            <v>353218</v>
          </cell>
        </row>
        <row r="22">
          <cell r="A22" t="str">
            <v>Ismailia_Gate2</v>
          </cell>
          <cell r="B22">
            <v>700287.17</v>
          </cell>
        </row>
        <row r="23">
          <cell r="A23" t="str">
            <v>Sheraton walk</v>
          </cell>
          <cell r="B23">
            <v>228270.26000000004</v>
          </cell>
        </row>
        <row r="24">
          <cell r="A24" t="str">
            <v>Roxy</v>
          </cell>
          <cell r="B24">
            <v>246621.20000000004</v>
          </cell>
        </row>
        <row r="25">
          <cell r="A25" t="str">
            <v>Gesr</v>
          </cell>
          <cell r="B25">
            <v>163701.75999999992</v>
          </cell>
        </row>
        <row r="26">
          <cell r="A26" t="str">
            <v>Josip</v>
          </cell>
          <cell r="B26">
            <v>181230.86000000002</v>
          </cell>
        </row>
        <row r="27">
          <cell r="A27" t="str">
            <v>Mivida2</v>
          </cell>
          <cell r="B27">
            <v>166045</v>
          </cell>
        </row>
        <row r="28">
          <cell r="A28" t="str">
            <v>ElGabakhana</v>
          </cell>
          <cell r="B28">
            <v>401742.58000000066</v>
          </cell>
        </row>
        <row r="29">
          <cell r="A29" t="str">
            <v>Police_Academy</v>
          </cell>
          <cell r="B29">
            <v>169371</v>
          </cell>
        </row>
        <row r="30">
          <cell r="A30" t="str">
            <v>Adeer</v>
          </cell>
          <cell r="B30">
            <v>102698.01000000001</v>
          </cell>
        </row>
        <row r="31">
          <cell r="A31" t="str">
            <v>CHILL2</v>
          </cell>
          <cell r="B31">
            <v>668322.39000000013</v>
          </cell>
        </row>
        <row r="32">
          <cell r="A32" t="str">
            <v>Shazly</v>
          </cell>
          <cell r="B32">
            <v>409352.79</v>
          </cell>
        </row>
        <row r="33">
          <cell r="A33" t="str">
            <v>AL-REHAB</v>
          </cell>
          <cell r="B33">
            <v>863977.20000000065</v>
          </cell>
        </row>
        <row r="34">
          <cell r="A34" t="str">
            <v>Zamalek_MP</v>
          </cell>
          <cell r="B34">
            <v>210549.20000000004</v>
          </cell>
        </row>
        <row r="35">
          <cell r="A35" t="str">
            <v>Batrawi1</v>
          </cell>
          <cell r="B35">
            <v>101328.52999999996</v>
          </cell>
        </row>
        <row r="36">
          <cell r="A36" t="str">
            <v>Sadat</v>
          </cell>
          <cell r="B36">
            <v>680443.4600000002</v>
          </cell>
        </row>
        <row r="37">
          <cell r="A37" t="str">
            <v>Midor</v>
          </cell>
          <cell r="B37">
            <v>825884.44000000041</v>
          </cell>
        </row>
        <row r="38">
          <cell r="A38" t="str">
            <v>Elnahas2</v>
          </cell>
          <cell r="B38">
            <v>112459.33999999995</v>
          </cell>
        </row>
        <row r="39">
          <cell r="A39" t="str">
            <v>NewCapital</v>
          </cell>
          <cell r="B39">
            <v>7317</v>
          </cell>
        </row>
        <row r="40">
          <cell r="A40" t="str">
            <v>AlAmein4</v>
          </cell>
          <cell r="B40">
            <v>143426.19999999998</v>
          </cell>
        </row>
        <row r="41">
          <cell r="A41" t="str">
            <v>MERGHANY</v>
          </cell>
          <cell r="B41">
            <v>42711</v>
          </cell>
        </row>
        <row r="42">
          <cell r="A42" t="str">
            <v>Chillout_Sharm</v>
          </cell>
          <cell r="B42">
            <v>177279.21999999997</v>
          </cell>
        </row>
        <row r="43">
          <cell r="A43" t="str">
            <v>Maadimobil</v>
          </cell>
          <cell r="B43">
            <v>519222.17000000016</v>
          </cell>
        </row>
        <row r="44">
          <cell r="A44" t="str">
            <v>Shinzo1</v>
          </cell>
          <cell r="B44">
            <v>283696.16000000003</v>
          </cell>
        </row>
        <row r="45">
          <cell r="A45" t="str">
            <v>Elshams</v>
          </cell>
          <cell r="B45">
            <v>116797.17000000001</v>
          </cell>
        </row>
        <row r="46">
          <cell r="A46" t="str">
            <v>KERSH</v>
          </cell>
          <cell r="B46">
            <v>338283</v>
          </cell>
        </row>
        <row r="47">
          <cell r="A47" t="str">
            <v>ELMAX</v>
          </cell>
          <cell r="B47">
            <v>88303.19</v>
          </cell>
        </row>
        <row r="48">
          <cell r="A48" t="str">
            <v>Kafrawy</v>
          </cell>
          <cell r="B48">
            <v>137608.59999999992</v>
          </cell>
        </row>
        <row r="49">
          <cell r="A49" t="str">
            <v>AL-SHAHID1</v>
          </cell>
          <cell r="B49">
            <v>481187.86000000045</v>
          </cell>
        </row>
        <row r="50">
          <cell r="A50" t="str">
            <v>CITYSCAPE</v>
          </cell>
          <cell r="B50">
            <v>66233</v>
          </cell>
        </row>
        <row r="51">
          <cell r="A51" t="str">
            <v>SuperJet</v>
          </cell>
          <cell r="B51">
            <v>162053</v>
          </cell>
        </row>
        <row r="52">
          <cell r="A52" t="str">
            <v>CFC</v>
          </cell>
          <cell r="B52">
            <v>707154.56000000064</v>
          </cell>
        </row>
        <row r="53">
          <cell r="A53" t="str">
            <v>Sheraton_Stirp</v>
          </cell>
          <cell r="B53">
            <v>93000.19</v>
          </cell>
        </row>
        <row r="54">
          <cell r="A54" t="str">
            <v>AUC</v>
          </cell>
          <cell r="B54">
            <v>354954</v>
          </cell>
        </row>
        <row r="55">
          <cell r="A55" t="str">
            <v>Chillout_Tayaran</v>
          </cell>
          <cell r="B55">
            <v>152546.30999999997</v>
          </cell>
        </row>
        <row r="56">
          <cell r="A56" t="str">
            <v>K23</v>
          </cell>
          <cell r="B56">
            <v>110778.28</v>
          </cell>
        </row>
        <row r="57">
          <cell r="A57" t="str">
            <v>MoharamBek</v>
          </cell>
          <cell r="B57">
            <v>772709.35</v>
          </cell>
        </row>
        <row r="58">
          <cell r="A58" t="str">
            <v>Kafrawy2</v>
          </cell>
          <cell r="B58">
            <v>205922.5</v>
          </cell>
        </row>
        <row r="59">
          <cell r="A59" t="str">
            <v>Tanta</v>
          </cell>
          <cell r="B59">
            <v>333362.39000000007</v>
          </cell>
        </row>
        <row r="60">
          <cell r="A60" t="str">
            <v>Heliopolis</v>
          </cell>
          <cell r="B60">
            <v>91324.049999999988</v>
          </cell>
        </row>
        <row r="61">
          <cell r="A61" t="str">
            <v>WAHA2</v>
          </cell>
          <cell r="B61">
            <v>562827.40000000026</v>
          </cell>
        </row>
        <row r="62">
          <cell r="A62" t="str">
            <v>Dunes</v>
          </cell>
          <cell r="B62">
            <v>327093.41000000032</v>
          </cell>
        </row>
        <row r="63">
          <cell r="A63" t="str">
            <v>Damietta2</v>
          </cell>
          <cell r="B63">
            <v>325761.25</v>
          </cell>
        </row>
        <row r="64">
          <cell r="A64" t="str">
            <v>Smart</v>
          </cell>
          <cell r="B64">
            <v>58011.05999999999</v>
          </cell>
        </row>
        <row r="65">
          <cell r="A65" t="str">
            <v>Assuit2</v>
          </cell>
          <cell r="B65">
            <v>163139</v>
          </cell>
        </row>
        <row r="66">
          <cell r="A66" t="str">
            <v>GREEN PARK</v>
          </cell>
          <cell r="B66">
            <v>188563.29000000007</v>
          </cell>
        </row>
        <row r="67">
          <cell r="A67" t="str">
            <v>Pgardens</v>
          </cell>
          <cell r="B67">
            <v>944486.6400000006</v>
          </cell>
        </row>
        <row r="68">
          <cell r="A68" t="str">
            <v>K38</v>
          </cell>
          <cell r="B68">
            <v>394348.58000000007</v>
          </cell>
        </row>
        <row r="69">
          <cell r="A69" t="str">
            <v>TahiaMIsr2</v>
          </cell>
          <cell r="B69">
            <v>416795.36000000004</v>
          </cell>
        </row>
        <row r="70">
          <cell r="A70" t="str">
            <v>M3Morah</v>
          </cell>
          <cell r="B70">
            <v>90572.369999999981</v>
          </cell>
        </row>
        <row r="71">
          <cell r="A71" t="str">
            <v>ElObour1</v>
          </cell>
          <cell r="B71">
            <v>411029.45000000007</v>
          </cell>
        </row>
        <row r="72">
          <cell r="A72" t="str">
            <v>Shinzo2</v>
          </cell>
          <cell r="B72">
            <v>140526.47999999992</v>
          </cell>
        </row>
        <row r="73">
          <cell r="A73" t="str">
            <v>NOBARIA</v>
          </cell>
          <cell r="B73">
            <v>797658.26000000339</v>
          </cell>
        </row>
        <row r="74">
          <cell r="A74" t="str">
            <v>Elsanhoury2</v>
          </cell>
          <cell r="B74">
            <v>71155.259999999995</v>
          </cell>
        </row>
        <row r="75">
          <cell r="A75" t="str">
            <v>Sodic_WMC</v>
          </cell>
          <cell r="B75">
            <v>238940.38000000006</v>
          </cell>
        </row>
        <row r="76">
          <cell r="A76" t="str">
            <v>Assiut</v>
          </cell>
          <cell r="B76">
            <v>169469</v>
          </cell>
        </row>
        <row r="77">
          <cell r="A77" t="str">
            <v>K21</v>
          </cell>
          <cell r="B77">
            <v>487949.32</v>
          </cell>
        </row>
        <row r="78">
          <cell r="A78" t="str">
            <v>MADINTY2</v>
          </cell>
          <cell r="B78">
            <v>79363</v>
          </cell>
        </row>
        <row r="79">
          <cell r="A79" t="str">
            <v>Madinaty_Strip</v>
          </cell>
          <cell r="B79">
            <v>91764.14</v>
          </cell>
        </row>
        <row r="80">
          <cell r="A80" t="str">
            <v>TenthOfRamadan</v>
          </cell>
          <cell r="B80">
            <v>189178</v>
          </cell>
        </row>
        <row r="81">
          <cell r="A81" t="str">
            <v>UPTOWN</v>
          </cell>
          <cell r="B81">
            <v>133904</v>
          </cell>
        </row>
        <row r="82">
          <cell r="A82" t="str">
            <v>AIRPORT</v>
          </cell>
          <cell r="B82">
            <v>261410.99</v>
          </cell>
        </row>
        <row r="83">
          <cell r="A83" t="str">
            <v>NewDamietta</v>
          </cell>
          <cell r="B83">
            <v>526995.06000000052</v>
          </cell>
        </row>
        <row r="84">
          <cell r="A84" t="str">
            <v>Kafr2</v>
          </cell>
          <cell r="B84">
            <v>322636</v>
          </cell>
        </row>
        <row r="85">
          <cell r="A85" t="str">
            <v>AL-SHAHID2</v>
          </cell>
          <cell r="B85">
            <v>194352.29999999996</v>
          </cell>
        </row>
        <row r="86">
          <cell r="A86" t="str">
            <v>Elsanhoury1</v>
          </cell>
          <cell r="B86">
            <v>62083.63</v>
          </cell>
        </row>
        <row r="87">
          <cell r="A87" t="str">
            <v>Shinzo3</v>
          </cell>
          <cell r="B87">
            <v>53679.149999999994</v>
          </cell>
        </row>
        <row r="88">
          <cell r="A88" t="str">
            <v>Batrawi2</v>
          </cell>
          <cell r="B88">
            <v>100276</v>
          </cell>
        </row>
        <row r="89">
          <cell r="A89" t="str">
            <v>Hegaz</v>
          </cell>
          <cell r="B89">
            <v>352564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SoftSalesReport"/>
    </sheetNames>
    <sheetDataSet>
      <sheetData sheetId="0">
        <row r="1">
          <cell r="A1" t="str">
            <v>Branch Name</v>
          </cell>
          <cell r="B1" t="str">
            <v>Total Sales LE</v>
          </cell>
        </row>
        <row r="2">
          <cell r="A2" t="str">
            <v>Nakheel</v>
          </cell>
          <cell r="B2">
            <v>615025.06000000041</v>
          </cell>
        </row>
        <row r="3">
          <cell r="A3" t="str">
            <v>ISMAILIA_GATE</v>
          </cell>
          <cell r="B3">
            <v>322947</v>
          </cell>
        </row>
        <row r="4">
          <cell r="A4" t="str">
            <v>K27</v>
          </cell>
          <cell r="B4">
            <v>129279.16999999979</v>
          </cell>
        </row>
        <row r="5">
          <cell r="A5" t="str">
            <v>Alahly2</v>
          </cell>
          <cell r="B5">
            <v>129237.20999999999</v>
          </cell>
        </row>
        <row r="6">
          <cell r="A6" t="str">
            <v>MADINTY1</v>
          </cell>
          <cell r="B6">
            <v>298125.13</v>
          </cell>
        </row>
        <row r="7">
          <cell r="A7" t="str">
            <v>MADINTY3</v>
          </cell>
          <cell r="B7">
            <v>115217</v>
          </cell>
        </row>
        <row r="8">
          <cell r="A8" t="str">
            <v>G7</v>
          </cell>
          <cell r="B8">
            <v>182183.10000000003</v>
          </cell>
        </row>
        <row r="9">
          <cell r="A9" t="str">
            <v>AlShorouk</v>
          </cell>
          <cell r="B9">
            <v>304933</v>
          </cell>
        </row>
        <row r="10">
          <cell r="A10" t="str">
            <v>AlAhly1</v>
          </cell>
          <cell r="B10">
            <v>121785.54999999992</v>
          </cell>
        </row>
        <row r="11">
          <cell r="A11" t="str">
            <v>Dolphin</v>
          </cell>
          <cell r="B11">
            <v>286068.75000000012</v>
          </cell>
        </row>
        <row r="12">
          <cell r="A12" t="str">
            <v>Bluepark</v>
          </cell>
          <cell r="B12">
            <v>67421</v>
          </cell>
        </row>
        <row r="13">
          <cell r="A13" t="str">
            <v>Sheraton</v>
          </cell>
          <cell r="B13">
            <v>277204</v>
          </cell>
        </row>
        <row r="14">
          <cell r="A14" t="str">
            <v>Jehan</v>
          </cell>
          <cell r="B14">
            <v>288487.0900000002</v>
          </cell>
        </row>
        <row r="15">
          <cell r="A15" t="str">
            <v>Alamein3</v>
          </cell>
          <cell r="B15">
            <v>478364</v>
          </cell>
        </row>
        <row r="16">
          <cell r="A16" t="str">
            <v>WAHA-CITY</v>
          </cell>
          <cell r="B16">
            <v>137392</v>
          </cell>
        </row>
        <row r="17">
          <cell r="A17" t="str">
            <v>Alex_Gate</v>
          </cell>
          <cell r="B17">
            <v>341336</v>
          </cell>
        </row>
        <row r="18">
          <cell r="A18" t="str">
            <v>MarseiliaBeach4</v>
          </cell>
          <cell r="B18">
            <v>142568.44999999998</v>
          </cell>
        </row>
        <row r="19">
          <cell r="A19" t="str">
            <v>Dokki</v>
          </cell>
          <cell r="B19">
            <v>200893.54000000007</v>
          </cell>
        </row>
        <row r="20">
          <cell r="A20" t="str">
            <v>Chillout_ElHorya</v>
          </cell>
          <cell r="B20">
            <v>385006</v>
          </cell>
        </row>
        <row r="21">
          <cell r="A21" t="str">
            <v>TRUMPH</v>
          </cell>
          <cell r="B21">
            <v>1034510.5</v>
          </cell>
        </row>
        <row r="22">
          <cell r="A22" t="str">
            <v>Ismailia_Gate2</v>
          </cell>
          <cell r="B22">
            <v>548894</v>
          </cell>
        </row>
        <row r="23">
          <cell r="A23" t="str">
            <v>Sheraton walk</v>
          </cell>
          <cell r="B23">
            <v>217751.43999999997</v>
          </cell>
        </row>
        <row r="24">
          <cell r="A24" t="str">
            <v>Roxy</v>
          </cell>
          <cell r="B24">
            <v>195105.14</v>
          </cell>
        </row>
        <row r="25">
          <cell r="A25" t="str">
            <v>UH</v>
          </cell>
          <cell r="B25">
            <v>39952</v>
          </cell>
        </row>
        <row r="26">
          <cell r="A26" t="str">
            <v>Gesr</v>
          </cell>
          <cell r="B26">
            <v>187467</v>
          </cell>
        </row>
        <row r="27">
          <cell r="A27" t="str">
            <v>Josip</v>
          </cell>
          <cell r="B27">
            <v>180664.48000000004</v>
          </cell>
        </row>
        <row r="28">
          <cell r="A28" t="str">
            <v>Mivida2</v>
          </cell>
          <cell r="B28">
            <v>203021</v>
          </cell>
        </row>
        <row r="29">
          <cell r="A29" t="str">
            <v>ElGabakhana</v>
          </cell>
          <cell r="B29">
            <v>388560.32000000065</v>
          </cell>
        </row>
        <row r="30">
          <cell r="A30" t="str">
            <v>Police_Academy</v>
          </cell>
          <cell r="B30">
            <v>139354</v>
          </cell>
        </row>
        <row r="31">
          <cell r="A31" t="str">
            <v>Adeer</v>
          </cell>
          <cell r="B31">
            <v>87008</v>
          </cell>
        </row>
        <row r="32">
          <cell r="A32" t="str">
            <v>CHILL2</v>
          </cell>
          <cell r="B32">
            <v>736186.01</v>
          </cell>
        </row>
        <row r="33">
          <cell r="A33" t="str">
            <v>Shazly</v>
          </cell>
          <cell r="B33">
            <v>424765</v>
          </cell>
        </row>
        <row r="34">
          <cell r="A34" t="str">
            <v>AL-REHAB</v>
          </cell>
          <cell r="B34">
            <v>1033772.6900000009</v>
          </cell>
        </row>
        <row r="35">
          <cell r="A35" t="str">
            <v>Zamalek_MP</v>
          </cell>
          <cell r="B35">
            <v>189685.59000000011</v>
          </cell>
        </row>
        <row r="36">
          <cell r="A36" t="str">
            <v>Batrawi1</v>
          </cell>
          <cell r="B36">
            <v>113583.02999999996</v>
          </cell>
        </row>
        <row r="37">
          <cell r="A37" t="str">
            <v>Sadat</v>
          </cell>
          <cell r="B37">
            <v>617323.38000000024</v>
          </cell>
        </row>
        <row r="38">
          <cell r="A38" t="str">
            <v>Midor</v>
          </cell>
          <cell r="B38">
            <v>1186775.1900000009</v>
          </cell>
        </row>
        <row r="39">
          <cell r="A39" t="str">
            <v>Elnahas2</v>
          </cell>
          <cell r="B39">
            <v>169022.47999999995</v>
          </cell>
        </row>
        <row r="40">
          <cell r="A40" t="str">
            <v>NewCapital</v>
          </cell>
          <cell r="B40">
            <v>192731.70000000019</v>
          </cell>
        </row>
        <row r="41">
          <cell r="A41" t="str">
            <v>MERGHANY</v>
          </cell>
          <cell r="B41">
            <v>44395.08</v>
          </cell>
        </row>
        <row r="42">
          <cell r="A42" t="str">
            <v>AlAmein4</v>
          </cell>
          <cell r="B42">
            <v>81439.03</v>
          </cell>
        </row>
        <row r="43">
          <cell r="A43" t="str">
            <v>Chillout_Sharm</v>
          </cell>
          <cell r="B43">
            <v>160202.01999999993</v>
          </cell>
        </row>
        <row r="44">
          <cell r="A44" t="str">
            <v>Maadimobil</v>
          </cell>
          <cell r="B44">
            <v>572435.13000000035</v>
          </cell>
        </row>
        <row r="45">
          <cell r="A45" t="str">
            <v>Shinzo1</v>
          </cell>
          <cell r="B45">
            <v>370228.33000000007</v>
          </cell>
        </row>
        <row r="46">
          <cell r="A46" t="str">
            <v>Elshams</v>
          </cell>
          <cell r="B46">
            <v>123004.95999999998</v>
          </cell>
        </row>
        <row r="47">
          <cell r="A47" t="str">
            <v>KERSH</v>
          </cell>
          <cell r="B47">
            <v>278934</v>
          </cell>
        </row>
        <row r="48">
          <cell r="A48" t="str">
            <v>ELMAX</v>
          </cell>
          <cell r="B48">
            <v>109486.17999999992</v>
          </cell>
        </row>
        <row r="49">
          <cell r="A49" t="str">
            <v>AL-SHAHID1</v>
          </cell>
          <cell r="B49">
            <v>658908.61000000034</v>
          </cell>
        </row>
        <row r="50">
          <cell r="A50" t="str">
            <v>CITYSCAPE</v>
          </cell>
          <cell r="B50">
            <v>69687</v>
          </cell>
        </row>
        <row r="51">
          <cell r="A51" t="str">
            <v>Kafrawy</v>
          </cell>
          <cell r="B51">
            <v>184445.52000000014</v>
          </cell>
        </row>
        <row r="52">
          <cell r="A52" t="str">
            <v>CFC</v>
          </cell>
          <cell r="B52">
            <v>975425</v>
          </cell>
        </row>
        <row r="53">
          <cell r="A53" t="str">
            <v>SuperJet</v>
          </cell>
          <cell r="B53">
            <v>167123</v>
          </cell>
        </row>
        <row r="54">
          <cell r="A54" t="str">
            <v>Sheraton_Stirp</v>
          </cell>
          <cell r="B54">
            <v>110246.38999999996</v>
          </cell>
        </row>
        <row r="55">
          <cell r="A55" t="str">
            <v>BUE</v>
          </cell>
          <cell r="B55">
            <v>11565</v>
          </cell>
        </row>
        <row r="56">
          <cell r="A56" t="str">
            <v>AUC</v>
          </cell>
          <cell r="B56">
            <v>514232</v>
          </cell>
        </row>
        <row r="57">
          <cell r="A57" t="str">
            <v>Chillout_Tayaran</v>
          </cell>
          <cell r="B57">
            <v>169389.38000000009</v>
          </cell>
        </row>
        <row r="58">
          <cell r="A58" t="str">
            <v>K23</v>
          </cell>
          <cell r="B58">
            <v>107604</v>
          </cell>
        </row>
        <row r="59">
          <cell r="A59" t="str">
            <v>MoharamBek</v>
          </cell>
          <cell r="B59">
            <v>598568</v>
          </cell>
        </row>
        <row r="60">
          <cell r="A60" t="str">
            <v>Kafrawy2</v>
          </cell>
          <cell r="B60">
            <v>240769.94000000006</v>
          </cell>
        </row>
        <row r="61">
          <cell r="A61" t="str">
            <v>Tanta</v>
          </cell>
          <cell r="B61">
            <v>234764.24000000002</v>
          </cell>
        </row>
        <row r="62">
          <cell r="A62" t="str">
            <v>WAHA2</v>
          </cell>
          <cell r="B62">
            <v>329635.14000000031</v>
          </cell>
        </row>
        <row r="63">
          <cell r="A63" t="str">
            <v>Heliopolis</v>
          </cell>
          <cell r="B63">
            <v>106325.14999999998</v>
          </cell>
        </row>
        <row r="64">
          <cell r="A64" t="str">
            <v>Dunes</v>
          </cell>
          <cell r="B64">
            <v>322742.70000000013</v>
          </cell>
        </row>
        <row r="65">
          <cell r="A65" t="str">
            <v>Damietta2</v>
          </cell>
          <cell r="B65">
            <v>337279</v>
          </cell>
        </row>
        <row r="66">
          <cell r="A66" t="str">
            <v>Smart</v>
          </cell>
          <cell r="B66">
            <v>232236.31000000003</v>
          </cell>
        </row>
        <row r="67">
          <cell r="A67" t="str">
            <v>GREEN PARK</v>
          </cell>
          <cell r="B67">
            <v>203418.59000000008</v>
          </cell>
        </row>
        <row r="68">
          <cell r="A68" t="str">
            <v>Assuit2</v>
          </cell>
          <cell r="B68">
            <v>107874</v>
          </cell>
        </row>
        <row r="69">
          <cell r="A69" t="str">
            <v>Pgardens</v>
          </cell>
          <cell r="B69">
            <v>733514.55000000098</v>
          </cell>
        </row>
        <row r="70">
          <cell r="A70" t="str">
            <v>K38</v>
          </cell>
          <cell r="B70">
            <v>296697.62000000005</v>
          </cell>
        </row>
        <row r="71">
          <cell r="A71" t="str">
            <v>TahiaMIsr2</v>
          </cell>
          <cell r="B71">
            <v>355145.25000000006</v>
          </cell>
        </row>
        <row r="72">
          <cell r="A72" t="str">
            <v>M3Morah</v>
          </cell>
          <cell r="B72">
            <v>90120.38999999997</v>
          </cell>
        </row>
        <row r="73">
          <cell r="A73" t="str">
            <v>ElObour1</v>
          </cell>
          <cell r="B73">
            <v>415012.68000000017</v>
          </cell>
        </row>
        <row r="74">
          <cell r="A74" t="str">
            <v>Shinzo2</v>
          </cell>
          <cell r="B74">
            <v>169887.97000000006</v>
          </cell>
        </row>
        <row r="75">
          <cell r="A75" t="str">
            <v>NOBARIA</v>
          </cell>
          <cell r="B75">
            <v>637526.84000000264</v>
          </cell>
        </row>
        <row r="76">
          <cell r="A76" t="str">
            <v>Elsanhoury2</v>
          </cell>
          <cell r="B76">
            <v>76351.17</v>
          </cell>
        </row>
        <row r="77">
          <cell r="A77" t="str">
            <v>Sodic_WMC</v>
          </cell>
          <cell r="B77">
            <v>308162.7800000002</v>
          </cell>
        </row>
        <row r="78">
          <cell r="A78" t="str">
            <v>Assiut</v>
          </cell>
          <cell r="B78">
            <v>102023</v>
          </cell>
        </row>
        <row r="79">
          <cell r="A79" t="str">
            <v>K21</v>
          </cell>
          <cell r="B79">
            <v>334982</v>
          </cell>
        </row>
        <row r="80">
          <cell r="A80" t="str">
            <v>MADINTY2</v>
          </cell>
          <cell r="B80">
            <v>113393</v>
          </cell>
        </row>
        <row r="81">
          <cell r="A81" t="str">
            <v>Madinaty_Strip</v>
          </cell>
          <cell r="B81">
            <v>75473.039999999994</v>
          </cell>
        </row>
        <row r="82">
          <cell r="A82" t="str">
            <v>TenthOfRamadan</v>
          </cell>
          <cell r="B82">
            <v>142948</v>
          </cell>
        </row>
        <row r="83">
          <cell r="A83" t="str">
            <v>UPTOWN</v>
          </cell>
          <cell r="B83">
            <v>145806.5</v>
          </cell>
        </row>
        <row r="84">
          <cell r="A84" t="str">
            <v>AIRPORT</v>
          </cell>
          <cell r="B84">
            <v>301457.22000000003</v>
          </cell>
        </row>
        <row r="85">
          <cell r="A85" t="str">
            <v>NewDamietta</v>
          </cell>
          <cell r="B85">
            <v>487551.76000000059</v>
          </cell>
        </row>
        <row r="86">
          <cell r="A86" t="str">
            <v>Kafr2</v>
          </cell>
          <cell r="B86">
            <v>172468</v>
          </cell>
        </row>
        <row r="87">
          <cell r="A87" t="str">
            <v>AL-SHAHID2</v>
          </cell>
          <cell r="B87">
            <v>315765.96000000025</v>
          </cell>
        </row>
        <row r="88">
          <cell r="A88" t="str">
            <v>Shinzo3</v>
          </cell>
          <cell r="B88">
            <v>89313.139999999985</v>
          </cell>
        </row>
        <row r="89">
          <cell r="A89" t="str">
            <v>Elsanhoury1</v>
          </cell>
          <cell r="B89">
            <v>102431.23999999998</v>
          </cell>
        </row>
        <row r="90">
          <cell r="A90" t="str">
            <v>Batrawi2</v>
          </cell>
          <cell r="B90">
            <v>137815</v>
          </cell>
        </row>
        <row r="91">
          <cell r="A91" t="str">
            <v>Hegaz</v>
          </cell>
          <cell r="B91">
            <v>250653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29"/>
  <sheetViews>
    <sheetView topLeftCell="B1" workbookViewId="0">
      <pane xSplit="1" topLeftCell="C1" activePane="topRight" state="frozen"/>
      <selection activeCell="B1" sqref="B1"/>
      <selection pane="topRight" activeCell="F34" sqref="F34"/>
    </sheetView>
  </sheetViews>
  <sheetFormatPr defaultRowHeight="18.75" customHeight="1" x14ac:dyDescent="0.3"/>
  <cols>
    <col min="1" max="1" width="5.109375" hidden="1" customWidth="1"/>
    <col min="2" max="2" width="18.5546875" customWidth="1"/>
    <col min="3" max="3" width="16.5546875" customWidth="1"/>
    <col min="4" max="4" width="12.6640625" style="52" hidden="1" customWidth="1"/>
    <col min="5" max="6" width="19.109375" style="28" customWidth="1"/>
    <col min="7" max="7" width="17.33203125" style="28" customWidth="1"/>
    <col min="8" max="8" width="16.33203125" style="28" customWidth="1"/>
    <col min="9" max="9" width="16.44140625" style="28" customWidth="1"/>
    <col min="10" max="10" width="17.6640625" hidden="1" customWidth="1"/>
    <col min="11" max="11" width="17.109375" style="5" hidden="1" customWidth="1"/>
    <col min="12" max="12" width="15.33203125" style="54" customWidth="1"/>
    <col min="13" max="13" width="15.21875" customWidth="1"/>
    <col min="14" max="14" width="15" customWidth="1"/>
    <col min="15" max="15" width="14.5546875" customWidth="1"/>
    <col min="18" max="18" width="20" customWidth="1"/>
    <col min="19" max="19" width="18" customWidth="1"/>
  </cols>
  <sheetData>
    <row r="1" spans="1:19" ht="18.75" customHeight="1" thickBot="1" x14ac:dyDescent="0.35">
      <c r="A1" s="65" t="s">
        <v>0</v>
      </c>
      <c r="B1" s="66" t="s">
        <v>1</v>
      </c>
      <c r="C1" s="8" t="s">
        <v>2</v>
      </c>
      <c r="D1" s="8" t="s">
        <v>44</v>
      </c>
      <c r="E1" s="53" t="s">
        <v>45</v>
      </c>
      <c r="F1" s="53" t="s">
        <v>67</v>
      </c>
      <c r="G1" s="53" t="s">
        <v>108</v>
      </c>
      <c r="H1" s="53" t="s">
        <v>137</v>
      </c>
      <c r="I1" s="53" t="s">
        <v>221</v>
      </c>
      <c r="J1" s="8" t="s">
        <v>96</v>
      </c>
      <c r="K1" s="219" t="s">
        <v>97</v>
      </c>
      <c r="L1" s="221" t="s">
        <v>124</v>
      </c>
      <c r="M1" s="222" t="s">
        <v>125</v>
      </c>
      <c r="N1" s="222" t="s">
        <v>153</v>
      </c>
      <c r="O1" s="223" t="s">
        <v>261</v>
      </c>
    </row>
    <row r="2" spans="1:19" ht="18.75" hidden="1" customHeight="1" x14ac:dyDescent="0.3">
      <c r="A2" s="67">
        <v>1</v>
      </c>
      <c r="B2" s="64" t="s">
        <v>5</v>
      </c>
      <c r="C2" s="123">
        <v>17031221</v>
      </c>
      <c r="D2" s="60">
        <v>26039387.52</v>
      </c>
      <c r="E2" s="123">
        <v>33759266</v>
      </c>
      <c r="F2" s="123">
        <v>35715444.25</v>
      </c>
      <c r="G2" s="123">
        <f>VLOOKUP(B2,[1]AKSoftSalesReport!$C:$D,2,0)</f>
        <v>46746649.549999997</v>
      </c>
      <c r="H2" s="123">
        <v>57976120.149999999</v>
      </c>
      <c r="I2" s="123">
        <f t="shared" ref="I2:I12" si="0">VLOOKUP(B2,R:S,2,0)</f>
        <v>64652995.155714042</v>
      </c>
      <c r="J2" s="7">
        <f t="shared" ref="J2:J33" si="1">E2/$E$99</f>
        <v>0.10547450265047566</v>
      </c>
      <c r="K2" s="105">
        <f t="shared" ref="K2:K33" si="2">F2/$F$99</f>
        <v>5.6419895691270948E-2</v>
      </c>
      <c r="L2" s="105">
        <f>(F2-E2)/E2</f>
        <v>5.7944928364260052E-2</v>
      </c>
      <c r="M2" s="220">
        <f>(G2-F2)/F2</f>
        <v>0.3088637291694894</v>
      </c>
      <c r="N2" s="220">
        <f>(H2-G2)/G2</f>
        <v>0.24021979560244233</v>
      </c>
      <c r="O2" s="220">
        <f>(I2-H2)/H2</f>
        <v>0.11516595088528089</v>
      </c>
      <c r="P2">
        <v>18</v>
      </c>
      <c r="R2" s="216" t="s">
        <v>5</v>
      </c>
      <c r="S2" s="28">
        <v>64652995.155714042</v>
      </c>
    </row>
    <row r="3" spans="1:19" ht="18.75" hidden="1" customHeight="1" x14ac:dyDescent="0.3">
      <c r="A3" s="61">
        <v>2</v>
      </c>
      <c r="B3" s="62" t="s">
        <v>123</v>
      </c>
      <c r="C3" s="124">
        <v>10304465</v>
      </c>
      <c r="D3" s="56">
        <v>21433811.5</v>
      </c>
      <c r="E3" s="124">
        <v>27239129</v>
      </c>
      <c r="F3" s="124">
        <v>32755003</v>
      </c>
      <c r="G3" s="123">
        <v>46933902.799999997</v>
      </c>
      <c r="H3" s="123">
        <v>56802261.899999999</v>
      </c>
      <c r="I3" s="123">
        <f t="shared" si="0"/>
        <v>62646436.857142858</v>
      </c>
      <c r="J3" s="7">
        <f t="shared" si="1"/>
        <v>8.5103555980960852E-2</v>
      </c>
      <c r="K3" s="105">
        <f t="shared" si="2"/>
        <v>5.1743269373648267E-2</v>
      </c>
      <c r="L3" s="68">
        <f t="shared" ref="L3:L39" si="3">(F3-E3)/E3</f>
        <v>0.20249817826407004</v>
      </c>
      <c r="M3" s="156">
        <f t="shared" ref="M3:M39" si="4">(G3-F3)/F3</f>
        <v>0.43287737754137884</v>
      </c>
      <c r="N3" s="156">
        <f t="shared" ref="N3:N61" si="5">(H3-G3)/G3</f>
        <v>0.21026078189261521</v>
      </c>
      <c r="O3" s="156">
        <f t="shared" ref="O3:O66" si="6">(I3-H3)/H3</f>
        <v>0.10288630701769395</v>
      </c>
      <c r="P3" s="215">
        <v>18</v>
      </c>
      <c r="R3" s="90" t="s">
        <v>47</v>
      </c>
      <c r="S3" s="28">
        <v>62999084.109999754</v>
      </c>
    </row>
    <row r="4" spans="1:19" ht="18.75" hidden="1" customHeight="1" x14ac:dyDescent="0.3">
      <c r="A4" s="67">
        <v>3</v>
      </c>
      <c r="B4" s="64" t="s">
        <v>6</v>
      </c>
      <c r="C4" s="123">
        <v>17301139</v>
      </c>
      <c r="D4" s="55">
        <v>19991074.5</v>
      </c>
      <c r="E4" s="125">
        <v>22066674</v>
      </c>
      <c r="F4" s="123">
        <v>23282141</v>
      </c>
      <c r="G4" s="123">
        <f>VLOOKUP(B4,[1]AKSoftSalesReport!$C:$D,2,0)</f>
        <v>30602568.5</v>
      </c>
      <c r="H4" s="123">
        <v>34974315.869999997</v>
      </c>
      <c r="I4" s="123">
        <f t="shared" si="0"/>
        <v>43563797.429999858</v>
      </c>
      <c r="J4" s="7">
        <f t="shared" si="1"/>
        <v>6.8943189265435523E-2</v>
      </c>
      <c r="K4" s="105">
        <f t="shared" si="2"/>
        <v>3.6778933995465078E-2</v>
      </c>
      <c r="L4" s="68">
        <f t="shared" si="3"/>
        <v>5.5081567797666292E-2</v>
      </c>
      <c r="M4" s="156">
        <f t="shared" si="4"/>
        <v>0.31442243649327611</v>
      </c>
      <c r="N4" s="156">
        <f t="shared" si="5"/>
        <v>0.1428555701133386</v>
      </c>
      <c r="O4" s="156">
        <f t="shared" si="6"/>
        <v>0.24559398365151958</v>
      </c>
      <c r="P4" s="234">
        <v>25</v>
      </c>
      <c r="R4" s="216" t="s">
        <v>123</v>
      </c>
      <c r="S4" s="28">
        <v>62646436.857142858</v>
      </c>
    </row>
    <row r="5" spans="1:19" ht="18.75" hidden="1" customHeight="1" x14ac:dyDescent="0.3">
      <c r="A5" s="61">
        <v>4</v>
      </c>
      <c r="B5" s="62" t="s">
        <v>8</v>
      </c>
      <c r="C5" s="124">
        <v>16493569</v>
      </c>
      <c r="D5" s="56">
        <v>18983448</v>
      </c>
      <c r="E5" s="124">
        <v>20614876</v>
      </c>
      <c r="F5" s="124">
        <v>22162761.5</v>
      </c>
      <c r="G5" s="123">
        <f>VLOOKUP(B5,[1]AKSoftSalesReport!$C:$D,2,0)</f>
        <v>28149362.57</v>
      </c>
      <c r="H5" s="123">
        <v>37618545.959999986</v>
      </c>
      <c r="I5" s="123">
        <f t="shared" si="0"/>
        <v>49549498.95928555</v>
      </c>
      <c r="J5" s="7">
        <f t="shared" si="1"/>
        <v>6.440731837301282E-2</v>
      </c>
      <c r="K5" s="105">
        <f t="shared" si="2"/>
        <v>3.5010643667424513E-2</v>
      </c>
      <c r="L5" s="68">
        <f t="shared" si="3"/>
        <v>7.5085850625538561E-2</v>
      </c>
      <c r="M5" s="156">
        <f t="shared" si="4"/>
        <v>0.27011981652196188</v>
      </c>
      <c r="N5" s="156">
        <f t="shared" si="5"/>
        <v>0.33639068616394552</v>
      </c>
      <c r="O5" s="156">
        <f t="shared" si="6"/>
        <v>0.31715614452434748</v>
      </c>
      <c r="P5" s="111">
        <v>30</v>
      </c>
      <c r="R5" s="90" t="s">
        <v>68</v>
      </c>
      <c r="S5" s="28">
        <v>76628156.047142595</v>
      </c>
    </row>
    <row r="6" spans="1:19" ht="18.75" customHeight="1" x14ac:dyDescent="0.3">
      <c r="A6" s="67">
        <v>5</v>
      </c>
      <c r="B6" s="64" t="s">
        <v>17</v>
      </c>
      <c r="C6" s="123">
        <v>17472782</v>
      </c>
      <c r="D6" s="55">
        <v>18842429</v>
      </c>
      <c r="E6" s="125">
        <v>20180575</v>
      </c>
      <c r="F6" s="123">
        <v>22401467.5</v>
      </c>
      <c r="G6" s="123">
        <f>VLOOKUP(B6,[1]AKSoftSalesReport!$C:$D,2,0)</f>
        <v>33051769</v>
      </c>
      <c r="H6" s="123">
        <v>40651362.829999998</v>
      </c>
      <c r="I6" s="123">
        <f t="shared" si="0"/>
        <v>42168249.108571351</v>
      </c>
      <c r="J6" s="7">
        <f t="shared" si="1"/>
        <v>6.3050426254102288E-2</v>
      </c>
      <c r="K6" s="105">
        <f t="shared" si="2"/>
        <v>3.5387728928540384E-2</v>
      </c>
      <c r="L6" s="68">
        <f t="shared" si="3"/>
        <v>0.11005100201555208</v>
      </c>
      <c r="M6" s="156">
        <f t="shared" si="4"/>
        <v>0.47542874144294339</v>
      </c>
      <c r="N6" s="156">
        <f t="shared" si="5"/>
        <v>0.22993001766410742</v>
      </c>
      <c r="O6" s="156">
        <f t="shared" si="6"/>
        <v>3.7314524605603548E-2</v>
      </c>
      <c r="P6" s="111">
        <v>15</v>
      </c>
      <c r="R6" s="216" t="s">
        <v>109</v>
      </c>
      <c r="S6" s="28">
        <v>43325088.940714218</v>
      </c>
    </row>
    <row r="7" spans="1:19" ht="18.75" hidden="1" customHeight="1" x14ac:dyDescent="0.3">
      <c r="A7" s="61">
        <v>6</v>
      </c>
      <c r="B7" s="62" t="s">
        <v>4</v>
      </c>
      <c r="C7" s="124">
        <v>7077028</v>
      </c>
      <c r="D7" s="56">
        <v>18425528.5</v>
      </c>
      <c r="E7" s="124">
        <v>17443925.5</v>
      </c>
      <c r="F7" s="124">
        <v>13463974</v>
      </c>
      <c r="G7" s="123">
        <f>VLOOKUP(B7,[1]AKSoftSalesReport!$C:$D,2,0)</f>
        <v>15920126.689999999</v>
      </c>
      <c r="H7" s="123">
        <v>17802988.93</v>
      </c>
      <c r="I7" s="123">
        <f t="shared" si="0"/>
        <v>20661163.804285713</v>
      </c>
      <c r="J7" s="7">
        <f t="shared" si="1"/>
        <v>5.4500277535194333E-2</v>
      </c>
      <c r="K7" s="105">
        <f t="shared" si="2"/>
        <v>2.126911829383122E-2</v>
      </c>
      <c r="L7" s="57">
        <f t="shared" si="3"/>
        <v>-0.22815687329093443</v>
      </c>
      <c r="M7" s="156">
        <f t="shared" si="4"/>
        <v>0.18242405176955923</v>
      </c>
      <c r="N7" s="156">
        <f t="shared" si="5"/>
        <v>0.11826930002904394</v>
      </c>
      <c r="O7" s="156">
        <f t="shared" si="6"/>
        <v>0.16054466390581038</v>
      </c>
      <c r="P7" s="111">
        <v>20</v>
      </c>
      <c r="R7" s="90" t="s">
        <v>63</v>
      </c>
      <c r="S7" s="28">
        <v>32468822.595714241</v>
      </c>
    </row>
    <row r="8" spans="1:19" ht="18.75" hidden="1" customHeight="1" x14ac:dyDescent="0.3">
      <c r="A8" s="67">
        <v>7</v>
      </c>
      <c r="B8" s="64" t="s">
        <v>7</v>
      </c>
      <c r="C8" s="123">
        <v>13166594</v>
      </c>
      <c r="D8" s="55">
        <v>16278098.289999999</v>
      </c>
      <c r="E8" s="125">
        <v>16214027</v>
      </c>
      <c r="F8" s="123">
        <v>13651833.5</v>
      </c>
      <c r="G8" s="123">
        <f>VLOOKUP(B8,[1]AKSoftSalesReport!$C:$D,2,0)</f>
        <v>13084015.25</v>
      </c>
      <c r="H8" s="123">
        <v>16674576.899999999</v>
      </c>
      <c r="I8" s="123">
        <f t="shared" si="0"/>
        <v>19802836.688571438</v>
      </c>
      <c r="J8" s="7">
        <f t="shared" si="1"/>
        <v>5.0657690063118786E-2</v>
      </c>
      <c r="K8" s="105">
        <f t="shared" si="2"/>
        <v>2.1565881042193629E-2</v>
      </c>
      <c r="L8" s="57">
        <f t="shared" si="3"/>
        <v>-0.15802326590426918</v>
      </c>
      <c r="M8" s="160">
        <f t="shared" si="4"/>
        <v>-4.1592819748351016E-2</v>
      </c>
      <c r="N8" s="156">
        <f t="shared" si="5"/>
        <v>0.27442352988697399</v>
      </c>
      <c r="O8" s="156">
        <f t="shared" si="6"/>
        <v>0.18760654662076853</v>
      </c>
      <c r="P8" s="111">
        <v>20</v>
      </c>
      <c r="R8" s="217" t="s">
        <v>226</v>
      </c>
      <c r="S8" s="28">
        <v>26343309.318571419</v>
      </c>
    </row>
    <row r="9" spans="1:19" ht="18.75" hidden="1" customHeight="1" x14ac:dyDescent="0.3">
      <c r="A9" s="67">
        <v>9</v>
      </c>
      <c r="B9" s="64" t="s">
        <v>20</v>
      </c>
      <c r="C9" s="123">
        <v>2167686</v>
      </c>
      <c r="D9" s="55">
        <v>12202566.5</v>
      </c>
      <c r="E9" s="125">
        <v>13434269</v>
      </c>
      <c r="F9" s="123">
        <v>14081554</v>
      </c>
      <c r="G9" s="123">
        <f>VLOOKUP(B9,[1]AKSoftSalesReport!$C:$D,2,0)</f>
        <v>17106327.240000002</v>
      </c>
      <c r="H9" s="123">
        <v>22796634.100000001</v>
      </c>
      <c r="I9" s="123">
        <f t="shared" si="0"/>
        <v>24106691.921428572</v>
      </c>
      <c r="J9" s="7">
        <f t="shared" si="1"/>
        <v>4.1972856911275946E-2</v>
      </c>
      <c r="K9" s="105">
        <f t="shared" si="2"/>
        <v>2.2244713023582205E-2</v>
      </c>
      <c r="L9" s="68">
        <f t="shared" si="3"/>
        <v>4.8181631616874727E-2</v>
      </c>
      <c r="M9" s="156">
        <f t="shared" si="4"/>
        <v>0.21480393712228082</v>
      </c>
      <c r="N9" s="156">
        <f t="shared" si="5"/>
        <v>0.33264340031414008</v>
      </c>
      <c r="O9" s="156">
        <f t="shared" si="6"/>
        <v>5.7467160093979439E-2</v>
      </c>
      <c r="P9" s="111">
        <v>18</v>
      </c>
      <c r="R9" s="106" t="s">
        <v>229</v>
      </c>
      <c r="S9" s="28">
        <v>3921494.3671428571</v>
      </c>
    </row>
    <row r="10" spans="1:19" ht="18.75" hidden="1" customHeight="1" x14ac:dyDescent="0.3">
      <c r="A10" s="61">
        <v>10</v>
      </c>
      <c r="B10" s="62" t="s">
        <v>18</v>
      </c>
      <c r="C10" s="124">
        <v>6718780</v>
      </c>
      <c r="D10" s="56">
        <v>11054276</v>
      </c>
      <c r="E10" s="124">
        <v>10005912.5</v>
      </c>
      <c r="F10" s="124">
        <v>14304954</v>
      </c>
      <c r="G10" s="123">
        <f>VLOOKUP(B10,[1]AKSoftSalesReport!$C:$D,2,0)</f>
        <v>20567867.440000001</v>
      </c>
      <c r="H10" s="123">
        <v>33107412.197999999</v>
      </c>
      <c r="I10" s="123">
        <f t="shared" si="0"/>
        <v>42343993.234285481</v>
      </c>
      <c r="J10" s="7">
        <f t="shared" si="1"/>
        <v>3.1261599245128065E-2</v>
      </c>
      <c r="K10" s="105">
        <f t="shared" si="2"/>
        <v>2.2597619307183309E-2</v>
      </c>
      <c r="L10" s="68">
        <f t="shared" si="3"/>
        <v>0.42965011936692432</v>
      </c>
      <c r="M10" s="156">
        <f t="shared" si="4"/>
        <v>0.43781430125535542</v>
      </c>
      <c r="N10" s="156">
        <f t="shared" si="5"/>
        <v>0.60966674326251868</v>
      </c>
      <c r="O10" s="156">
        <f t="shared" si="6"/>
        <v>0.27898831177277755</v>
      </c>
      <c r="P10" s="235">
        <v>30</v>
      </c>
      <c r="R10" s="216" t="s">
        <v>4</v>
      </c>
      <c r="S10" s="28">
        <v>20661163.804285713</v>
      </c>
    </row>
    <row r="11" spans="1:19" ht="18.75" hidden="1" customHeight="1" x14ac:dyDescent="0.3">
      <c r="A11" s="67">
        <v>11</v>
      </c>
      <c r="B11" s="64" t="s">
        <v>46</v>
      </c>
      <c r="C11" s="123">
        <v>0</v>
      </c>
      <c r="D11" s="55">
        <v>10778085</v>
      </c>
      <c r="E11" s="125">
        <v>9982567</v>
      </c>
      <c r="F11" s="123">
        <v>18498891</v>
      </c>
      <c r="G11" s="123">
        <f>VLOOKUP(B11,[1]AKSoftSalesReport!$C:$D,2,0)</f>
        <v>22250621</v>
      </c>
      <c r="H11" s="123">
        <v>21288960.200000003</v>
      </c>
      <c r="I11" s="123">
        <f t="shared" si="0"/>
        <v>27147120.929285724</v>
      </c>
      <c r="J11" s="7">
        <f t="shared" si="1"/>
        <v>3.1188660603582163E-2</v>
      </c>
      <c r="K11" s="105">
        <f t="shared" si="2"/>
        <v>2.9222806058871603E-2</v>
      </c>
      <c r="L11" s="68">
        <f t="shared" si="3"/>
        <v>0.853119643474469</v>
      </c>
      <c r="M11" s="156">
        <f t="shared" si="4"/>
        <v>0.20280837375602678</v>
      </c>
      <c r="N11" s="156">
        <f t="shared" si="5"/>
        <v>-4.3219503851150809E-2</v>
      </c>
      <c r="O11" s="156">
        <f t="shared" si="6"/>
        <v>0.27517364278250284</v>
      </c>
      <c r="P11" s="235">
        <v>30</v>
      </c>
      <c r="R11" s="90" t="s">
        <v>69</v>
      </c>
      <c r="S11" s="28">
        <v>27298731.815714259</v>
      </c>
    </row>
    <row r="12" spans="1:19" ht="18.75" hidden="1" customHeight="1" x14ac:dyDescent="0.3">
      <c r="A12" s="61">
        <v>12</v>
      </c>
      <c r="B12" s="62" t="s">
        <v>13</v>
      </c>
      <c r="C12" s="124">
        <v>5246007</v>
      </c>
      <c r="D12" s="56">
        <v>9724770</v>
      </c>
      <c r="E12" s="124">
        <v>9923371</v>
      </c>
      <c r="F12" s="124">
        <v>8902677</v>
      </c>
      <c r="G12" s="123">
        <f>VLOOKUP(B12,[1]AKSoftSalesReport!$C:$D,2,0)</f>
        <v>10885321.5</v>
      </c>
      <c r="H12" s="123">
        <v>15637671.35</v>
      </c>
      <c r="I12" s="123">
        <f t="shared" si="0"/>
        <v>18452015.601428572</v>
      </c>
      <c r="J12" s="7">
        <f t="shared" si="1"/>
        <v>3.1003713790493943E-2</v>
      </c>
      <c r="K12" s="105">
        <f t="shared" si="2"/>
        <v>1.4063610806495203E-2</v>
      </c>
      <c r="L12" s="57">
        <f t="shared" si="3"/>
        <v>-0.10285758740653755</v>
      </c>
      <c r="M12" s="156">
        <f t="shared" si="4"/>
        <v>0.22270205916714714</v>
      </c>
      <c r="N12" s="156">
        <f t="shared" si="5"/>
        <v>0.43658332461746763</v>
      </c>
      <c r="O12" s="156">
        <f t="shared" si="6"/>
        <v>0.17997208078097718</v>
      </c>
      <c r="P12" s="111">
        <v>20</v>
      </c>
      <c r="R12" s="216" t="s">
        <v>148</v>
      </c>
      <c r="S12" s="28">
        <v>13557293.637142858</v>
      </c>
    </row>
    <row r="13" spans="1:19" ht="18.75" hidden="1" customHeight="1" x14ac:dyDescent="0.3">
      <c r="A13" s="67">
        <v>13</v>
      </c>
      <c r="B13" s="64" t="s">
        <v>10</v>
      </c>
      <c r="C13" s="123">
        <v>4494757.4000000004</v>
      </c>
      <c r="D13" s="55">
        <v>9015562.5</v>
      </c>
      <c r="E13" s="125">
        <v>9775830</v>
      </c>
      <c r="F13" s="123">
        <v>8646328.5</v>
      </c>
      <c r="G13" s="123">
        <f>VLOOKUP(B13,[1]AKSoftSalesReport!$C:$D,2,0)</f>
        <v>11127270.25</v>
      </c>
      <c r="H13" s="123">
        <v>12678117.550000001</v>
      </c>
      <c r="I13" s="123">
        <v>0</v>
      </c>
      <c r="J13" s="7">
        <f t="shared" si="1"/>
        <v>3.0542749574164304E-2</v>
      </c>
      <c r="K13" s="105">
        <f t="shared" si="2"/>
        <v>1.3658655585180443E-2</v>
      </c>
      <c r="L13" s="57">
        <f t="shared" si="3"/>
        <v>-0.11554021499964709</v>
      </c>
      <c r="M13" s="156">
        <f t="shared" si="4"/>
        <v>0.28693586532133264</v>
      </c>
      <c r="N13" s="156">
        <f t="shared" si="5"/>
        <v>0.13937356289158168</v>
      </c>
      <c r="O13" s="226">
        <v>0</v>
      </c>
      <c r="P13" s="215"/>
      <c r="R13" s="90" t="s">
        <v>103</v>
      </c>
      <c r="S13" s="28">
        <v>9764989.7971428577</v>
      </c>
    </row>
    <row r="14" spans="1:19" ht="18.75" customHeight="1" x14ac:dyDescent="0.3">
      <c r="A14" s="61">
        <v>14</v>
      </c>
      <c r="B14" s="258" t="s">
        <v>16</v>
      </c>
      <c r="C14" s="124">
        <v>3327680</v>
      </c>
      <c r="D14" s="56">
        <v>7830956.5</v>
      </c>
      <c r="E14" s="124">
        <v>9308996</v>
      </c>
      <c r="F14" s="124">
        <v>7192264</v>
      </c>
      <c r="G14" s="123">
        <f>VLOOKUP(B14,[1]AKSoftSalesReport!$C:$D,2,0)</f>
        <v>5374729.75</v>
      </c>
      <c r="H14" s="123">
        <v>5816492.4000000004</v>
      </c>
      <c r="I14" s="123">
        <f t="shared" ref="I14:I43" si="7">VLOOKUP(B14,R:S,2,0)</f>
        <v>3530610.868571429</v>
      </c>
      <c r="J14" s="7">
        <f t="shared" si="1"/>
        <v>2.9084214191009584E-2</v>
      </c>
      <c r="K14" s="105">
        <f t="shared" si="2"/>
        <v>1.136166140965986E-2</v>
      </c>
      <c r="L14" s="57">
        <f t="shared" si="3"/>
        <v>-0.22738563858014332</v>
      </c>
      <c r="M14" s="160">
        <f t="shared" si="4"/>
        <v>-0.2527068319516636</v>
      </c>
      <c r="N14" s="156">
        <f t="shared" si="5"/>
        <v>8.2192532564079226E-2</v>
      </c>
      <c r="O14" s="156">
        <f t="shared" si="6"/>
        <v>-0.39300000313394567</v>
      </c>
      <c r="P14" s="257">
        <v>15</v>
      </c>
      <c r="R14" s="216" t="s">
        <v>77</v>
      </c>
      <c r="S14" s="28">
        <v>27147120.929285724</v>
      </c>
    </row>
    <row r="15" spans="1:19" ht="18.75" hidden="1" customHeight="1" x14ac:dyDescent="0.3">
      <c r="A15" s="67">
        <v>15</v>
      </c>
      <c r="B15" s="64" t="s">
        <v>47</v>
      </c>
      <c r="C15" s="123">
        <v>0</v>
      </c>
      <c r="D15" s="55">
        <v>7535597</v>
      </c>
      <c r="E15" s="125">
        <v>9142724</v>
      </c>
      <c r="F15" s="123">
        <v>25225791</v>
      </c>
      <c r="G15" s="123">
        <f>VLOOKUP(B15,[1]AKSoftSalesReport!$C:$D,2,0)</f>
        <v>34893245.359999999</v>
      </c>
      <c r="H15" s="123">
        <v>45531422.829999998</v>
      </c>
      <c r="I15" s="123">
        <f t="shared" si="7"/>
        <v>62999084.109999754</v>
      </c>
      <c r="J15" s="7">
        <f t="shared" si="1"/>
        <v>2.8564728473971186E-2</v>
      </c>
      <c r="K15" s="105">
        <f t="shared" si="2"/>
        <v>3.9849329242203156E-2</v>
      </c>
      <c r="L15" s="68">
        <f t="shared" si="3"/>
        <v>1.7591110701799595</v>
      </c>
      <c r="M15" s="156">
        <f t="shared" si="4"/>
        <v>0.38323691653514452</v>
      </c>
      <c r="N15" s="156">
        <f t="shared" si="5"/>
        <v>0.30487784556133929</v>
      </c>
      <c r="O15" s="156">
        <f t="shared" si="6"/>
        <v>0.38363969747263343</v>
      </c>
      <c r="P15" s="215">
        <v>30</v>
      </c>
      <c r="R15" s="90" t="s">
        <v>64</v>
      </c>
      <c r="S15" s="28">
        <v>10625531.30857143</v>
      </c>
    </row>
    <row r="16" spans="1:19" ht="18.75" customHeight="1" x14ac:dyDescent="0.3">
      <c r="A16" s="61">
        <v>16</v>
      </c>
      <c r="B16" s="62" t="s">
        <v>9</v>
      </c>
      <c r="C16" s="124">
        <v>6050848</v>
      </c>
      <c r="D16" s="56">
        <v>7435310</v>
      </c>
      <c r="E16" s="124">
        <v>8270258.5</v>
      </c>
      <c r="F16" s="124">
        <v>5912560.5</v>
      </c>
      <c r="G16" s="123">
        <f>VLOOKUP(B16,[1]AKSoftSalesReport!$C:$D,2,0)</f>
        <v>5129608.5</v>
      </c>
      <c r="H16" s="123">
        <v>5922093.3499999996</v>
      </c>
      <c r="I16" s="123">
        <f t="shared" si="7"/>
        <v>5296883.7521428578</v>
      </c>
      <c r="J16" s="7">
        <f t="shared" si="1"/>
        <v>2.583887345413164E-2</v>
      </c>
      <c r="K16" s="105">
        <f t="shared" si="2"/>
        <v>9.3401063232841849E-3</v>
      </c>
      <c r="L16" s="57">
        <f t="shared" si="3"/>
        <v>-0.28508153644774226</v>
      </c>
      <c r="M16" s="156">
        <f t="shared" si="4"/>
        <v>-0.13242181623342375</v>
      </c>
      <c r="N16" s="156">
        <f t="shared" si="5"/>
        <v>0.15449226778222933</v>
      </c>
      <c r="O16" s="156">
        <f t="shared" si="6"/>
        <v>-0.10557239829006443</v>
      </c>
      <c r="P16">
        <v>15</v>
      </c>
      <c r="R16" s="216" t="s">
        <v>6</v>
      </c>
      <c r="S16" s="28">
        <v>43563797.429999858</v>
      </c>
    </row>
    <row r="17" spans="1:19" ht="18.75" hidden="1" customHeight="1" x14ac:dyDescent="0.3">
      <c r="A17" s="67">
        <v>19</v>
      </c>
      <c r="B17" s="64" t="s">
        <v>19</v>
      </c>
      <c r="C17" s="123">
        <v>6325714</v>
      </c>
      <c r="D17" s="55">
        <v>7275249.5</v>
      </c>
      <c r="E17" s="125">
        <v>7185776.5999999996</v>
      </c>
      <c r="F17" s="123">
        <v>9658403</v>
      </c>
      <c r="G17" s="123">
        <f>VLOOKUP(B17,[1]AKSoftSalesReport!$C:$D,2,0)</f>
        <v>12461562.24</v>
      </c>
      <c r="H17" s="123">
        <v>16344919.499999998</v>
      </c>
      <c r="I17" s="123">
        <f t="shared" si="7"/>
        <v>20923692.405714281</v>
      </c>
      <c r="J17" s="7">
        <f t="shared" si="1"/>
        <v>2.2450612908539714E-2</v>
      </c>
      <c r="K17" s="105">
        <f t="shared" si="2"/>
        <v>1.5257435578566502E-2</v>
      </c>
      <c r="L17" s="68">
        <f t="shared" si="3"/>
        <v>0.34410009350972592</v>
      </c>
      <c r="M17" s="156">
        <f t="shared" si="4"/>
        <v>0.29023009704606445</v>
      </c>
      <c r="N17" s="156">
        <f t="shared" si="5"/>
        <v>0.31162683981426698</v>
      </c>
      <c r="O17" s="156">
        <f t="shared" si="6"/>
        <v>0.28013431976304831</v>
      </c>
      <c r="P17" s="234">
        <v>30</v>
      </c>
      <c r="R17" s="90" t="s">
        <v>70</v>
      </c>
      <c r="S17" s="28">
        <v>42168249.108571351</v>
      </c>
    </row>
    <row r="18" spans="1:19" ht="18.75" hidden="1" customHeight="1" x14ac:dyDescent="0.3">
      <c r="A18" s="61">
        <v>20</v>
      </c>
      <c r="B18" s="62" t="s">
        <v>15</v>
      </c>
      <c r="C18" s="124">
        <v>1697327</v>
      </c>
      <c r="D18" s="56">
        <v>5813283.8899999997</v>
      </c>
      <c r="E18" s="124">
        <v>6901113</v>
      </c>
      <c r="F18" s="124">
        <v>6303913</v>
      </c>
      <c r="G18" s="123">
        <f>VLOOKUP(B18,[1]AKSoftSalesReport!$C:$D,2,0)</f>
        <v>6583556.5</v>
      </c>
      <c r="H18" s="123">
        <v>6941961.4000000004</v>
      </c>
      <c r="I18" s="123">
        <f t="shared" si="7"/>
        <v>8041169.8014285713</v>
      </c>
      <c r="J18" s="7">
        <f t="shared" si="1"/>
        <v>2.156123481504995E-2</v>
      </c>
      <c r="K18" s="105">
        <f t="shared" si="2"/>
        <v>9.9583281511848171E-3</v>
      </c>
      <c r="L18" s="57">
        <f t="shared" si="3"/>
        <v>-8.6536765881097724E-2</v>
      </c>
      <c r="M18" s="156">
        <f t="shared" si="4"/>
        <v>4.4360304464861743E-2</v>
      </c>
      <c r="N18" s="156">
        <f t="shared" si="5"/>
        <v>5.4439405205985607E-2</v>
      </c>
      <c r="O18" s="156">
        <f t="shared" si="6"/>
        <v>0.15834262654191233</v>
      </c>
      <c r="P18" s="215">
        <v>20</v>
      </c>
      <c r="R18" s="216" t="s">
        <v>7</v>
      </c>
      <c r="S18" s="28">
        <v>19802836.688571438</v>
      </c>
    </row>
    <row r="19" spans="1:19" ht="18.75" hidden="1" customHeight="1" x14ac:dyDescent="0.3">
      <c r="A19" s="67">
        <v>21</v>
      </c>
      <c r="B19" s="64" t="s">
        <v>48</v>
      </c>
      <c r="C19" s="123">
        <v>0</v>
      </c>
      <c r="D19" s="55">
        <v>5722222</v>
      </c>
      <c r="E19" s="125">
        <v>6260842</v>
      </c>
      <c r="F19" s="123">
        <v>12047175</v>
      </c>
      <c r="G19" s="123">
        <f>VLOOKUP(B19,[1]AKSoftSalesReport!$C:$D,2,0)</f>
        <v>19011804.800000001</v>
      </c>
      <c r="H19" s="123">
        <v>19980247.5</v>
      </c>
      <c r="I19" s="123">
        <f t="shared" si="7"/>
        <v>21444679.694285713</v>
      </c>
      <c r="J19" s="7">
        <f t="shared" si="1"/>
        <v>1.9560828014543008E-2</v>
      </c>
      <c r="K19" s="105">
        <f t="shared" si="2"/>
        <v>1.9030992646115193E-2</v>
      </c>
      <c r="L19" s="68">
        <f t="shared" si="3"/>
        <v>0.92421003436917915</v>
      </c>
      <c r="M19" s="156">
        <f t="shared" si="4"/>
        <v>0.57811310950492545</v>
      </c>
      <c r="N19" s="156">
        <f t="shared" si="5"/>
        <v>5.0939019739988031E-2</v>
      </c>
      <c r="O19" s="156">
        <f t="shared" si="6"/>
        <v>7.3293996697774297E-2</v>
      </c>
      <c r="P19" s="215">
        <v>18</v>
      </c>
      <c r="R19" s="90" t="s">
        <v>140</v>
      </c>
      <c r="S19" s="28">
        <v>12700489.925714293</v>
      </c>
    </row>
    <row r="20" spans="1:19" ht="18.75" hidden="1" customHeight="1" x14ac:dyDescent="0.3">
      <c r="A20" s="61">
        <v>22</v>
      </c>
      <c r="B20" s="62" t="s">
        <v>49</v>
      </c>
      <c r="C20" s="124">
        <v>0</v>
      </c>
      <c r="D20" s="56">
        <v>5627778.2000000002</v>
      </c>
      <c r="E20" s="124">
        <v>5627436</v>
      </c>
      <c r="F20" s="124">
        <v>12634146</v>
      </c>
      <c r="G20" s="123">
        <f>VLOOKUP(B20,[1]AKSoftSalesReport!$C:$D,2,0)</f>
        <v>17760068.5</v>
      </c>
      <c r="H20" s="123">
        <v>23097151.900000002</v>
      </c>
      <c r="I20" s="123">
        <f t="shared" si="7"/>
        <v>27298731.815714259</v>
      </c>
      <c r="J20" s="7">
        <f t="shared" si="1"/>
        <v>1.7581869620547499E-2</v>
      </c>
      <c r="K20" s="105">
        <f t="shared" si="2"/>
        <v>1.9958234159954152E-2</v>
      </c>
      <c r="L20" s="68">
        <f t="shared" si="3"/>
        <v>1.2450981228396023</v>
      </c>
      <c r="M20" s="156">
        <f t="shared" si="4"/>
        <v>0.40571974552138307</v>
      </c>
      <c r="N20" s="156">
        <f t="shared" si="5"/>
        <v>0.30051029363991488</v>
      </c>
      <c r="O20" s="156">
        <f t="shared" si="6"/>
        <v>0.18190900479440741</v>
      </c>
      <c r="P20" s="215">
        <v>20</v>
      </c>
      <c r="R20" s="216" t="s">
        <v>141</v>
      </c>
      <c r="S20" s="28">
        <v>17305353.202857152</v>
      </c>
    </row>
    <row r="21" spans="1:19" ht="18.75" hidden="1" customHeight="1" x14ac:dyDescent="0.3">
      <c r="A21" s="67">
        <v>23</v>
      </c>
      <c r="B21" s="64" t="s">
        <v>14</v>
      </c>
      <c r="C21" s="123">
        <v>2584011</v>
      </c>
      <c r="D21" s="55">
        <v>5355687.5</v>
      </c>
      <c r="E21" s="125">
        <v>5554978</v>
      </c>
      <c r="F21" s="123">
        <v>4514151</v>
      </c>
      <c r="G21" s="123">
        <f>VLOOKUP(B21,[1]AKSoftSalesReport!$C:$D,2,0)</f>
        <v>5353306.25</v>
      </c>
      <c r="H21" s="123">
        <v>4433074.2</v>
      </c>
      <c r="I21" s="123">
        <f t="shared" si="7"/>
        <v>7363242.8185714297</v>
      </c>
      <c r="J21" s="7">
        <f t="shared" si="1"/>
        <v>1.7355488172768153E-2</v>
      </c>
      <c r="K21" s="105">
        <f t="shared" si="2"/>
        <v>7.1310306760260008E-3</v>
      </c>
      <c r="L21" s="57">
        <f t="shared" si="3"/>
        <v>-0.18736833881250295</v>
      </c>
      <c r="M21" s="156">
        <f t="shared" si="4"/>
        <v>0.18589436861992431</v>
      </c>
      <c r="N21" s="156">
        <f t="shared" si="5"/>
        <v>-0.17189975821017148</v>
      </c>
      <c r="O21" s="156">
        <f t="shared" si="6"/>
        <v>0.66097892486695331</v>
      </c>
      <c r="P21" s="233">
        <v>35</v>
      </c>
      <c r="R21" s="90" t="s">
        <v>150</v>
      </c>
      <c r="S21" s="28">
        <v>28499428.839285713</v>
      </c>
    </row>
    <row r="22" spans="1:19" ht="18.75" hidden="1" customHeight="1" x14ac:dyDescent="0.3">
      <c r="A22" s="61">
        <v>24</v>
      </c>
      <c r="B22" s="62" t="s">
        <v>50</v>
      </c>
      <c r="C22" s="124">
        <v>0</v>
      </c>
      <c r="D22" s="56">
        <v>5354159.51</v>
      </c>
      <c r="E22" s="124">
        <v>5361544</v>
      </c>
      <c r="F22" s="124">
        <v>10728746</v>
      </c>
      <c r="G22" s="123">
        <f>VLOOKUP(B22,[1]AKSoftSalesReport!$C:$D,2,0)</f>
        <v>15907523.859999999</v>
      </c>
      <c r="H22" s="123">
        <v>19009731</v>
      </c>
      <c r="I22" s="123">
        <f t="shared" si="7"/>
        <v>24246723.442857146</v>
      </c>
      <c r="J22" s="7">
        <f t="shared" si="1"/>
        <v>1.6751139874861078E-2</v>
      </c>
      <c r="K22" s="105">
        <f t="shared" si="2"/>
        <v>1.6948262661415459E-2</v>
      </c>
      <c r="L22" s="68">
        <f t="shared" si="3"/>
        <v>1.0010552930275309</v>
      </c>
      <c r="M22" s="156">
        <f t="shared" si="4"/>
        <v>0.48270113394426517</v>
      </c>
      <c r="N22" s="156">
        <f t="shared" si="5"/>
        <v>0.19501508640201409</v>
      </c>
      <c r="O22" s="156">
        <f t="shared" si="6"/>
        <v>0.27549008678014153</v>
      </c>
      <c r="P22" s="234">
        <v>30</v>
      </c>
      <c r="R22" s="216" t="s">
        <v>151</v>
      </c>
      <c r="S22" s="28">
        <v>37223579.864999942</v>
      </c>
    </row>
    <row r="23" spans="1:19" ht="18.75" hidden="1" customHeight="1" x14ac:dyDescent="0.3">
      <c r="A23" s="67">
        <v>25</v>
      </c>
      <c r="B23" s="64" t="s">
        <v>51</v>
      </c>
      <c r="C23" s="123">
        <v>0</v>
      </c>
      <c r="D23" s="55">
        <v>5204348.5</v>
      </c>
      <c r="E23" s="125">
        <v>5331012</v>
      </c>
      <c r="F23" s="123">
        <v>7174251</v>
      </c>
      <c r="G23" s="123">
        <f>VLOOKUP(B23,[1]AKSoftSalesReport!$C:$D,2,0)</f>
        <v>6621859</v>
      </c>
      <c r="H23" s="123">
        <v>10027011.75</v>
      </c>
      <c r="I23" s="123">
        <f t="shared" si="7"/>
        <v>26425254.13857143</v>
      </c>
      <c r="J23" s="7">
        <f t="shared" si="1"/>
        <v>1.665574836027885E-2</v>
      </c>
      <c r="K23" s="105">
        <f t="shared" si="2"/>
        <v>1.1333206168448998E-2</v>
      </c>
      <c r="L23" s="68">
        <f t="shared" si="3"/>
        <v>0.34575780358400993</v>
      </c>
      <c r="M23" s="160">
        <f t="shared" si="4"/>
        <v>-7.6996469736004491E-2</v>
      </c>
      <c r="N23" s="156">
        <f t="shared" si="5"/>
        <v>0.51422912357390882</v>
      </c>
      <c r="O23" s="156">
        <f t="shared" si="6"/>
        <v>1.635406719112644</v>
      </c>
      <c r="P23" s="215">
        <v>5</v>
      </c>
      <c r="R23" s="106" t="s">
        <v>230</v>
      </c>
      <c r="S23" s="28">
        <v>7324455.1528571434</v>
      </c>
    </row>
    <row r="24" spans="1:19" ht="18.75" hidden="1" customHeight="1" x14ac:dyDescent="0.3">
      <c r="A24" s="61">
        <v>26</v>
      </c>
      <c r="B24" s="62" t="s">
        <v>11</v>
      </c>
      <c r="C24" s="124">
        <v>3618704</v>
      </c>
      <c r="D24" s="56">
        <v>4336499</v>
      </c>
      <c r="E24" s="124">
        <v>4985276</v>
      </c>
      <c r="F24" s="124">
        <v>5027299</v>
      </c>
      <c r="G24" s="123">
        <f>VLOOKUP(B24,[1]AKSoftSalesReport!$C:$D,2,0)</f>
        <v>5433201.5</v>
      </c>
      <c r="H24" s="123">
        <v>6807622.7000000002</v>
      </c>
      <c r="I24" s="123">
        <f t="shared" si="7"/>
        <v>9063614.7050000094</v>
      </c>
      <c r="J24" s="7">
        <f t="shared" si="1"/>
        <v>1.5575560993398159E-2</v>
      </c>
      <c r="K24" s="105">
        <f t="shared" si="2"/>
        <v>7.9416535659872344E-3</v>
      </c>
      <c r="L24" s="68">
        <f t="shared" si="3"/>
        <v>8.4294229647465854E-3</v>
      </c>
      <c r="M24" s="156">
        <f t="shared" si="4"/>
        <v>8.0739677508737798E-2</v>
      </c>
      <c r="N24" s="156">
        <f t="shared" si="5"/>
        <v>0.25296709499914555</v>
      </c>
      <c r="O24" s="156">
        <f t="shared" si="6"/>
        <v>0.33139204453854487</v>
      </c>
      <c r="P24" s="215">
        <v>30</v>
      </c>
      <c r="R24" s="216" t="s">
        <v>79</v>
      </c>
      <c r="S24" s="28">
        <v>19288362.002857156</v>
      </c>
    </row>
    <row r="25" spans="1:19" ht="18.75" hidden="1" customHeight="1" x14ac:dyDescent="0.3">
      <c r="A25" s="61">
        <v>28</v>
      </c>
      <c r="B25" s="62" t="s">
        <v>52</v>
      </c>
      <c r="C25" s="124">
        <v>0</v>
      </c>
      <c r="D25" s="56">
        <v>3669373.54</v>
      </c>
      <c r="E25" s="124">
        <v>4516005</v>
      </c>
      <c r="F25" s="124">
        <v>8396773</v>
      </c>
      <c r="G25" s="123">
        <f>VLOOKUP(B25,[1]AKSoftSalesReport!$C:$D,2,0)</f>
        <v>10899460.5</v>
      </c>
      <c r="H25" s="123">
        <v>13967441.02</v>
      </c>
      <c r="I25" s="123">
        <f t="shared" si="7"/>
        <v>19091492.78285715</v>
      </c>
      <c r="J25" s="7">
        <f t="shared" si="1"/>
        <v>1.410941166025533E-2</v>
      </c>
      <c r="K25" s="105">
        <f t="shared" si="2"/>
        <v>1.3264431305604724E-2</v>
      </c>
      <c r="L25" s="68">
        <f t="shared" si="3"/>
        <v>0.85933651534929656</v>
      </c>
      <c r="M25" s="156">
        <f t="shared" si="4"/>
        <v>0.29805349031109929</v>
      </c>
      <c r="N25" s="156">
        <f t="shared" si="5"/>
        <v>0.28148003472281952</v>
      </c>
      <c r="O25" s="156">
        <f t="shared" si="6"/>
        <v>0.36685687489354801</v>
      </c>
      <c r="P25" s="215">
        <v>35</v>
      </c>
      <c r="R25" s="90" t="s">
        <v>16</v>
      </c>
      <c r="S25" s="28">
        <v>3530610.868571429</v>
      </c>
    </row>
    <row r="26" spans="1:19" ht="18.75" hidden="1" customHeight="1" x14ac:dyDescent="0.3">
      <c r="A26" s="67">
        <v>29</v>
      </c>
      <c r="B26" s="64" t="s">
        <v>99</v>
      </c>
      <c r="C26" s="123">
        <v>0</v>
      </c>
      <c r="D26" s="55">
        <v>3384268</v>
      </c>
      <c r="E26" s="125">
        <v>4431756</v>
      </c>
      <c r="F26" s="123">
        <v>5234499</v>
      </c>
      <c r="G26" s="123">
        <f>VLOOKUP(B26,[1]AKSoftSalesReport!$C:$D,2,0)</f>
        <v>5530566.25</v>
      </c>
      <c r="H26" s="123">
        <v>6440708.1500000004</v>
      </c>
      <c r="I26" s="123">
        <f t="shared" si="7"/>
        <v>7443889.3957142923</v>
      </c>
      <c r="J26" s="7">
        <f t="shared" si="1"/>
        <v>1.3846191441729255E-2</v>
      </c>
      <c r="K26" s="105">
        <f t="shared" si="2"/>
        <v>8.2689686150568351E-3</v>
      </c>
      <c r="L26" s="68">
        <f t="shared" si="3"/>
        <v>0.18113429529965097</v>
      </c>
      <c r="M26" s="156">
        <f t="shared" si="4"/>
        <v>5.6560761593420876E-2</v>
      </c>
      <c r="N26" s="156">
        <f t="shared" si="5"/>
        <v>0.16456577118120597</v>
      </c>
      <c r="O26" s="156">
        <f t="shared" si="6"/>
        <v>0.15575635820640185</v>
      </c>
      <c r="P26" s="215">
        <v>18</v>
      </c>
      <c r="R26" s="216" t="s">
        <v>71</v>
      </c>
      <c r="S26" s="28">
        <v>26425254.13857143</v>
      </c>
    </row>
    <row r="27" spans="1:19" ht="18.75" customHeight="1" x14ac:dyDescent="0.3">
      <c r="A27" s="61">
        <v>30</v>
      </c>
      <c r="B27" s="258" t="s">
        <v>53</v>
      </c>
      <c r="C27" s="124">
        <v>0</v>
      </c>
      <c r="D27" s="56">
        <v>3362462</v>
      </c>
      <c r="E27" s="124">
        <v>3518171</v>
      </c>
      <c r="F27" s="124">
        <v>6451395</v>
      </c>
      <c r="G27" s="123">
        <f>VLOOKUP(B27,[1]AKSoftSalesReport!$C:$D,2,0)</f>
        <v>8239140.25</v>
      </c>
      <c r="H27" s="123">
        <v>7813913.5000000009</v>
      </c>
      <c r="I27" s="123">
        <f t="shared" si="7"/>
        <v>6976756.2557142861</v>
      </c>
      <c r="J27" s="7">
        <f t="shared" si="1"/>
        <v>1.0991866246864686E-2</v>
      </c>
      <c r="K27" s="105">
        <f t="shared" si="2"/>
        <v>1.0191306327183286E-2</v>
      </c>
      <c r="L27" s="68">
        <f t="shared" si="3"/>
        <v>0.83373548357939398</v>
      </c>
      <c r="M27" s="156">
        <f t="shared" si="4"/>
        <v>0.27710987313596519</v>
      </c>
      <c r="N27" s="156">
        <f t="shared" si="5"/>
        <v>-5.1610573081335646E-2</v>
      </c>
      <c r="O27" s="156">
        <f t="shared" si="6"/>
        <v>-0.10713674323189203</v>
      </c>
      <c r="P27" s="257">
        <v>15</v>
      </c>
      <c r="R27" s="90" t="s">
        <v>74</v>
      </c>
      <c r="S27" s="28">
        <v>6976756.2557142861</v>
      </c>
    </row>
    <row r="28" spans="1:19" ht="18.75" hidden="1" customHeight="1" x14ac:dyDescent="0.3">
      <c r="A28" s="67">
        <v>31</v>
      </c>
      <c r="B28" s="64" t="s">
        <v>12</v>
      </c>
      <c r="C28" s="123">
        <v>3110308</v>
      </c>
      <c r="D28" s="55">
        <v>3055260</v>
      </c>
      <c r="E28" s="125">
        <v>3476211.5</v>
      </c>
      <c r="F28" s="123">
        <v>3500806</v>
      </c>
      <c r="G28" s="123">
        <f>VLOOKUP(B28,[1]AKSoftSalesReport!$C:$D,2,0)</f>
        <v>4536709.25</v>
      </c>
      <c r="H28" s="123">
        <v>5033159.0000000009</v>
      </c>
      <c r="I28" s="123">
        <f t="shared" si="7"/>
        <v>6246634.6185714342</v>
      </c>
      <c r="J28" s="7">
        <f t="shared" si="1"/>
        <v>1.0860771649192963E-2</v>
      </c>
      <c r="K28" s="105">
        <f t="shared" si="2"/>
        <v>5.5302436663762205E-3</v>
      </c>
      <c r="L28" s="68">
        <f t="shared" si="3"/>
        <v>7.0750873472457017E-3</v>
      </c>
      <c r="M28" s="156">
        <f t="shared" si="4"/>
        <v>0.29590421462943106</v>
      </c>
      <c r="N28" s="156">
        <f t="shared" si="5"/>
        <v>0.10942948349621499</v>
      </c>
      <c r="O28" s="156">
        <f t="shared" si="6"/>
        <v>0.2410962217906156</v>
      </c>
      <c r="P28" s="234">
        <v>25</v>
      </c>
      <c r="R28" s="216" t="s">
        <v>72</v>
      </c>
      <c r="S28" s="28">
        <v>19091492.78285715</v>
      </c>
    </row>
    <row r="29" spans="1:19" ht="18.75" customHeight="1" x14ac:dyDescent="0.3">
      <c r="A29" s="61">
        <v>32</v>
      </c>
      <c r="B29" s="258" t="s">
        <v>54</v>
      </c>
      <c r="C29" s="124">
        <v>0</v>
      </c>
      <c r="D29" s="56">
        <v>3003990</v>
      </c>
      <c r="E29" s="124">
        <v>3240053</v>
      </c>
      <c r="F29" s="124">
        <v>8162409</v>
      </c>
      <c r="G29" s="123">
        <f>VLOOKUP(B29,[1]AKSoftSalesReport!$C:$D,2,0)</f>
        <v>8893153.9400000013</v>
      </c>
      <c r="H29" s="123">
        <v>10542276.800000001</v>
      </c>
      <c r="I29" s="123">
        <f t="shared" si="7"/>
        <v>8785664.1542857178</v>
      </c>
      <c r="J29" s="7">
        <f t="shared" si="1"/>
        <v>1.0122938654418066E-2</v>
      </c>
      <c r="K29" s="105">
        <f t="shared" si="2"/>
        <v>1.2894205127225632E-2</v>
      </c>
      <c r="L29" s="68">
        <f t="shared" si="3"/>
        <v>1.5192208275605368</v>
      </c>
      <c r="M29" s="156">
        <f t="shared" si="4"/>
        <v>8.9525646166468908E-2</v>
      </c>
      <c r="N29" s="156">
        <f t="shared" si="5"/>
        <v>0.18543734552738431</v>
      </c>
      <c r="O29" s="156">
        <f t="shared" si="6"/>
        <v>-0.16662554769139459</v>
      </c>
      <c r="P29" s="257">
        <v>15</v>
      </c>
      <c r="R29" s="90" t="s">
        <v>73</v>
      </c>
      <c r="S29" s="28">
        <v>14835264.346428579</v>
      </c>
    </row>
    <row r="30" spans="1:19" ht="18.75" customHeight="1" x14ac:dyDescent="0.3">
      <c r="A30" s="67">
        <v>33</v>
      </c>
      <c r="B30" s="64" t="s">
        <v>98</v>
      </c>
      <c r="C30" s="123">
        <v>0</v>
      </c>
      <c r="D30" s="55">
        <v>2987338</v>
      </c>
      <c r="E30" s="125">
        <v>3186669</v>
      </c>
      <c r="F30" s="123">
        <v>4583243</v>
      </c>
      <c r="G30" s="123">
        <f>VLOOKUP(B30,[1]AKSoftSalesReport!$C:$D,2,0)</f>
        <v>5476261.75</v>
      </c>
      <c r="H30" s="123">
        <v>8970383.7880000006</v>
      </c>
      <c r="I30" s="123">
        <f t="shared" si="7"/>
        <v>9114926.2642857153</v>
      </c>
      <c r="J30" s="7">
        <f t="shared" si="1"/>
        <v>9.9561503465948765E-3</v>
      </c>
      <c r="K30" s="105">
        <f t="shared" si="2"/>
        <v>7.2401757115970284E-3</v>
      </c>
      <c r="L30" s="68">
        <f t="shared" si="3"/>
        <v>0.43825511843244463</v>
      </c>
      <c r="M30" s="156">
        <f t="shared" si="4"/>
        <v>0.19484429474937287</v>
      </c>
      <c r="N30" s="156">
        <f t="shared" si="5"/>
        <v>0.63804876346533301</v>
      </c>
      <c r="O30" s="156">
        <f t="shared" si="6"/>
        <v>1.6113299018384725E-2</v>
      </c>
      <c r="P30" s="215">
        <v>15</v>
      </c>
      <c r="R30" s="217" t="s">
        <v>227</v>
      </c>
      <c r="S30" s="28">
        <v>6984620.8100000024</v>
      </c>
    </row>
    <row r="31" spans="1:19" ht="18.75" hidden="1" customHeight="1" x14ac:dyDescent="0.3">
      <c r="A31" s="61">
        <v>34</v>
      </c>
      <c r="B31" s="62" t="s">
        <v>55</v>
      </c>
      <c r="C31" s="124">
        <v>0</v>
      </c>
      <c r="D31" s="56">
        <v>2962988</v>
      </c>
      <c r="E31" s="124">
        <v>2981153</v>
      </c>
      <c r="F31" s="124">
        <v>9444392</v>
      </c>
      <c r="G31" s="123">
        <f>VLOOKUP(B31,[1]AKSoftSalesReport!$C:$D,2,0)</f>
        <v>17881363</v>
      </c>
      <c r="H31" s="123">
        <v>24917961.879999999</v>
      </c>
      <c r="I31" s="123">
        <f t="shared" si="7"/>
        <v>33095357.16428566</v>
      </c>
      <c r="J31" s="7">
        <f t="shared" si="1"/>
        <v>9.3140541029527561E-3</v>
      </c>
      <c r="K31" s="105">
        <f t="shared" si="2"/>
        <v>1.4919361153052823E-2</v>
      </c>
      <c r="L31" s="68">
        <f t="shared" si="3"/>
        <v>2.1680333079181109</v>
      </c>
      <c r="M31" s="156">
        <f t="shared" si="4"/>
        <v>0.89333130179264053</v>
      </c>
      <c r="N31" s="156">
        <f t="shared" si="5"/>
        <v>0.39351580078095832</v>
      </c>
      <c r="O31" s="156">
        <f t="shared" si="6"/>
        <v>0.32817271828516265</v>
      </c>
      <c r="P31" s="215">
        <v>30</v>
      </c>
      <c r="R31" s="90" t="s">
        <v>75</v>
      </c>
      <c r="S31" s="28">
        <v>8785664.1542857178</v>
      </c>
    </row>
    <row r="32" spans="1:19" ht="18.75" hidden="1" customHeight="1" x14ac:dyDescent="0.3">
      <c r="A32" s="67">
        <v>35</v>
      </c>
      <c r="B32" s="64" t="s">
        <v>56</v>
      </c>
      <c r="C32" s="123">
        <v>0</v>
      </c>
      <c r="D32" s="55">
        <v>2780534</v>
      </c>
      <c r="E32" s="125">
        <v>2461047</v>
      </c>
      <c r="F32" s="123">
        <v>5184842</v>
      </c>
      <c r="G32" s="123">
        <f>VLOOKUP(B32,[1]AKSoftSalesReport!$C:$D,2,0)</f>
        <v>6427320.2400000002</v>
      </c>
      <c r="H32" s="123">
        <v>9377634.4400000013</v>
      </c>
      <c r="I32" s="123">
        <f t="shared" si="7"/>
        <v>10383438.258571435</v>
      </c>
      <c r="J32" s="7">
        <f t="shared" si="1"/>
        <v>7.6890803349944029E-3</v>
      </c>
      <c r="K32" s="105">
        <f t="shared" si="2"/>
        <v>8.1905251623944353E-3</v>
      </c>
      <c r="L32" s="68">
        <f t="shared" si="3"/>
        <v>1.1067626908384927</v>
      </c>
      <c r="M32" s="156">
        <f t="shared" si="4"/>
        <v>0.2396366639523442</v>
      </c>
      <c r="N32" s="156">
        <f t="shared" si="5"/>
        <v>0.4590271045837917</v>
      </c>
      <c r="O32" s="156">
        <f t="shared" si="6"/>
        <v>0.10725560108007721</v>
      </c>
      <c r="P32" s="215">
        <v>18</v>
      </c>
      <c r="R32" s="216" t="s">
        <v>111</v>
      </c>
      <c r="S32" s="28">
        <v>13224539.241428575</v>
      </c>
    </row>
    <row r="33" spans="1:19" ht="18.75" customHeight="1" x14ac:dyDescent="0.3">
      <c r="A33" s="67">
        <v>39</v>
      </c>
      <c r="B33" s="64" t="s">
        <v>57</v>
      </c>
      <c r="C33" s="123">
        <v>0</v>
      </c>
      <c r="D33" s="55">
        <v>621809</v>
      </c>
      <c r="E33" s="125">
        <v>1834348</v>
      </c>
      <c r="F33" s="123">
        <v>2878755</v>
      </c>
      <c r="G33" s="123">
        <f>VLOOKUP(B33,[1]AKSoftSalesReport!$C:$D,2,0)</f>
        <v>3253146.75</v>
      </c>
      <c r="H33" s="123">
        <v>3573043.85</v>
      </c>
      <c r="I33" s="123">
        <f t="shared" si="7"/>
        <v>2715794.7142857146</v>
      </c>
      <c r="J33" s="7">
        <f t="shared" si="1"/>
        <v>5.7310767061077312E-3</v>
      </c>
      <c r="K33" s="105">
        <f t="shared" si="2"/>
        <v>4.5475860718357077E-3</v>
      </c>
      <c r="L33" s="68">
        <f t="shared" si="3"/>
        <v>0.56936142978322546</v>
      </c>
      <c r="M33" s="156">
        <f t="shared" si="4"/>
        <v>0.13005335639885993</v>
      </c>
      <c r="N33" s="156">
        <f t="shared" si="5"/>
        <v>9.8334666273508897E-2</v>
      </c>
      <c r="O33" s="156">
        <f t="shared" si="6"/>
        <v>-0.23992124689829528</v>
      </c>
      <c r="P33" s="215">
        <v>15</v>
      </c>
      <c r="R33" s="90" t="s">
        <v>149</v>
      </c>
      <c r="S33" s="28">
        <v>13237086.884285722</v>
      </c>
    </row>
    <row r="34" spans="1:19" ht="18.75" customHeight="1" x14ac:dyDescent="0.3">
      <c r="A34" s="61">
        <v>42</v>
      </c>
      <c r="B34" s="258" t="s">
        <v>58</v>
      </c>
      <c r="C34" s="124">
        <v>0</v>
      </c>
      <c r="D34" s="56">
        <v>397267</v>
      </c>
      <c r="E34" s="124">
        <v>1612429</v>
      </c>
      <c r="F34" s="124">
        <v>6300012</v>
      </c>
      <c r="G34" s="123">
        <f>VLOOKUP(B34,[1]AKSoftSalesReport!$C:$D,2,0)</f>
        <v>6420141</v>
      </c>
      <c r="H34" s="123">
        <v>5692164.4500000002</v>
      </c>
      <c r="I34" s="123">
        <f t="shared" si="7"/>
        <v>4532831.4664285723</v>
      </c>
      <c r="J34" s="7">
        <f t="shared" ref="J34:J61" si="8">E34/$E$99</f>
        <v>5.0377323616634263E-3</v>
      </c>
      <c r="K34" s="105">
        <f t="shared" ref="K34:K61" si="9">F34/$F$99</f>
        <v>9.952165718721399E-3</v>
      </c>
      <c r="L34" s="68">
        <f t="shared" si="3"/>
        <v>2.9071562220724139</v>
      </c>
      <c r="M34" s="156">
        <f t="shared" si="4"/>
        <v>1.9068058917983015E-2</v>
      </c>
      <c r="N34" s="156">
        <f t="shared" si="5"/>
        <v>-0.1133894956512637</v>
      </c>
      <c r="O34" s="156">
        <f t="shared" si="6"/>
        <v>-0.20367173045596529</v>
      </c>
      <c r="P34" s="257">
        <v>15</v>
      </c>
      <c r="R34" s="216" t="s">
        <v>80</v>
      </c>
      <c r="S34" s="28">
        <v>7443889.3957142923</v>
      </c>
    </row>
    <row r="35" spans="1:19" ht="18.75" hidden="1" customHeight="1" x14ac:dyDescent="0.3">
      <c r="A35" s="67">
        <v>43</v>
      </c>
      <c r="B35" s="64" t="s">
        <v>59</v>
      </c>
      <c r="C35" s="123">
        <v>0</v>
      </c>
      <c r="D35" s="55">
        <v>126351</v>
      </c>
      <c r="E35" s="125">
        <v>1584163</v>
      </c>
      <c r="F35" s="123">
        <v>7416601</v>
      </c>
      <c r="G35" s="123">
        <f>VLOOKUP(B35,[1]AKSoftSalesReport!$C:$D,2,0)</f>
        <v>10461472.939999999</v>
      </c>
      <c r="H35" s="123">
        <v>14865994.5</v>
      </c>
      <c r="I35" s="123">
        <f t="shared" si="7"/>
        <v>19288362.002857156</v>
      </c>
      <c r="J35" s="7">
        <f t="shared" si="8"/>
        <v>4.9494205396019416E-3</v>
      </c>
      <c r="K35" s="105">
        <f t="shared" si="9"/>
        <v>1.1716047877628621E-2</v>
      </c>
      <c r="L35" s="68">
        <f t="shared" si="3"/>
        <v>3.6817158335348066</v>
      </c>
      <c r="M35" s="156">
        <f t="shared" si="4"/>
        <v>0.41054816620174112</v>
      </c>
      <c r="N35" s="156">
        <f t="shared" si="5"/>
        <v>0.42102308013999418</v>
      </c>
      <c r="O35" s="156">
        <f t="shared" si="6"/>
        <v>0.29748211617172038</v>
      </c>
      <c r="P35" s="215">
        <v>30</v>
      </c>
      <c r="R35" s="90" t="s">
        <v>81</v>
      </c>
      <c r="S35" s="28">
        <v>9114926.2642857153</v>
      </c>
    </row>
    <row r="36" spans="1:19" ht="18.75" hidden="1" customHeight="1" x14ac:dyDescent="0.3">
      <c r="A36" s="67">
        <v>47</v>
      </c>
      <c r="B36" s="64" t="s">
        <v>60</v>
      </c>
      <c r="C36" s="123">
        <v>0</v>
      </c>
      <c r="D36" s="59"/>
      <c r="E36" s="125">
        <v>853704</v>
      </c>
      <c r="F36" s="123">
        <v>789341</v>
      </c>
      <c r="G36" s="123">
        <f>VLOOKUP(B36,[1]AKSoftSalesReport!$C:$D,2,0)</f>
        <v>1948825.5</v>
      </c>
      <c r="H36" s="123">
        <v>3489842.75</v>
      </c>
      <c r="I36" s="123">
        <f t="shared" si="7"/>
        <v>5035430.0000000028</v>
      </c>
      <c r="J36" s="7">
        <f t="shared" si="8"/>
        <v>2.6672382275942158E-3</v>
      </c>
      <c r="K36" s="105">
        <f t="shared" si="9"/>
        <v>1.2469265837241686E-3</v>
      </c>
      <c r="L36" s="68">
        <f t="shared" si="3"/>
        <v>-7.5392641946154637E-2</v>
      </c>
      <c r="M36" s="156">
        <f t="shared" si="4"/>
        <v>1.4689272443722041</v>
      </c>
      <c r="N36" s="156">
        <f t="shared" si="5"/>
        <v>0.79074152611406201</v>
      </c>
      <c r="O36" s="156">
        <f t="shared" si="6"/>
        <v>0.44288163127120922</v>
      </c>
      <c r="P36" s="233">
        <v>35</v>
      </c>
      <c r="R36" s="216" t="s">
        <v>82</v>
      </c>
      <c r="S36" s="28">
        <v>10383438.258571435</v>
      </c>
    </row>
    <row r="37" spans="1:19" ht="18.75" hidden="1" customHeight="1" x14ac:dyDescent="0.3">
      <c r="A37" s="61">
        <v>48</v>
      </c>
      <c r="B37" s="62" t="s">
        <v>61</v>
      </c>
      <c r="C37" s="124">
        <v>0</v>
      </c>
      <c r="D37" s="59"/>
      <c r="E37" s="124">
        <v>849197</v>
      </c>
      <c r="F37" s="124">
        <v>2050303</v>
      </c>
      <c r="G37" s="123">
        <f>VLOOKUP(B37,[1]AKSoftSalesReport!$C:$D,2,0)</f>
        <v>2376998.75</v>
      </c>
      <c r="H37" s="123">
        <v>3280880.01</v>
      </c>
      <c r="I37" s="123">
        <f t="shared" si="7"/>
        <v>4997053.1742857154</v>
      </c>
      <c r="J37" s="7">
        <f t="shared" si="8"/>
        <v>2.6531569503695958E-3</v>
      </c>
      <c r="K37" s="105">
        <f t="shared" si="9"/>
        <v>3.2388756131879809E-3</v>
      </c>
      <c r="L37" s="68">
        <f t="shared" si="3"/>
        <v>1.4144020763144476</v>
      </c>
      <c r="M37" s="156">
        <f t="shared" si="4"/>
        <v>0.15934022922465607</v>
      </c>
      <c r="N37" s="156">
        <f t="shared" si="5"/>
        <v>0.38026156303195352</v>
      </c>
      <c r="O37" s="156">
        <f t="shared" si="6"/>
        <v>0.52308318471107873</v>
      </c>
      <c r="P37" s="233">
        <v>35</v>
      </c>
      <c r="R37" s="90" t="s">
        <v>83</v>
      </c>
      <c r="S37" s="28">
        <v>6355824.2628571456</v>
      </c>
    </row>
    <row r="38" spans="1:19" ht="18.75" hidden="1" customHeight="1" x14ac:dyDescent="0.3">
      <c r="A38" s="61">
        <v>50</v>
      </c>
      <c r="B38" s="62" t="s">
        <v>62</v>
      </c>
      <c r="C38" s="124">
        <v>0</v>
      </c>
      <c r="D38" s="58"/>
      <c r="E38" s="124">
        <v>730163</v>
      </c>
      <c r="F38" s="124">
        <v>4744466</v>
      </c>
      <c r="G38" s="123">
        <f>VLOOKUP(B38,[1]AKSoftSalesReport!$C:$D,2,0)</f>
        <v>6424294.25</v>
      </c>
      <c r="H38" s="123">
        <v>5946243.5499999998</v>
      </c>
      <c r="I38" s="123">
        <f t="shared" si="7"/>
        <v>6355824.2628571456</v>
      </c>
      <c r="J38" s="7">
        <f t="shared" si="8"/>
        <v>2.2812575154560308E-3</v>
      </c>
      <c r="K38" s="105">
        <f t="shared" si="9"/>
        <v>7.4948606254780529E-3</v>
      </c>
      <c r="L38" s="68">
        <f t="shared" si="3"/>
        <v>5.4978176105883207</v>
      </c>
      <c r="M38" s="156">
        <f t="shared" si="4"/>
        <v>0.35406055180920254</v>
      </c>
      <c r="N38" s="156">
        <f t="shared" si="5"/>
        <v>-7.4412952053060172E-2</v>
      </c>
      <c r="O38" s="156">
        <f t="shared" si="6"/>
        <v>6.8880581397838272E-2</v>
      </c>
      <c r="P38" s="215">
        <v>20</v>
      </c>
      <c r="R38" s="216" t="s">
        <v>84</v>
      </c>
      <c r="S38" s="28">
        <v>4532831.4664285723</v>
      </c>
    </row>
    <row r="39" spans="1:19" ht="18.75" hidden="1" customHeight="1" x14ac:dyDescent="0.3">
      <c r="A39" s="61">
        <v>52</v>
      </c>
      <c r="B39" s="62" t="s">
        <v>63</v>
      </c>
      <c r="C39" s="124">
        <v>0</v>
      </c>
      <c r="D39" s="58"/>
      <c r="E39" s="124">
        <v>213739</v>
      </c>
      <c r="F39" s="124">
        <v>13971093</v>
      </c>
      <c r="G39" s="123">
        <f>VLOOKUP(B39,[1]AKSoftSalesReport!$C:$D,2,0)</f>
        <v>21915734</v>
      </c>
      <c r="H39" s="123">
        <v>26908870.699999999</v>
      </c>
      <c r="I39" s="123">
        <f t="shared" si="7"/>
        <v>32468822.595714241</v>
      </c>
      <c r="J39" s="7">
        <f t="shared" si="8"/>
        <v>6.6778746676571753E-4</v>
      </c>
      <c r="K39" s="105">
        <f t="shared" si="9"/>
        <v>2.2070217137311565E-2</v>
      </c>
      <c r="L39" s="68">
        <f t="shared" si="3"/>
        <v>64.365202419773652</v>
      </c>
      <c r="M39" s="156">
        <f t="shared" si="4"/>
        <v>0.5686484944306075</v>
      </c>
      <c r="N39" s="156">
        <f t="shared" si="5"/>
        <v>0.22783342323829991</v>
      </c>
      <c r="O39" s="156">
        <f t="shared" si="6"/>
        <v>0.20662152483843338</v>
      </c>
      <c r="P39" s="234">
        <v>22</v>
      </c>
      <c r="R39" s="90" t="s">
        <v>113</v>
      </c>
      <c r="S39" s="28">
        <v>8259261.6492857188</v>
      </c>
    </row>
    <row r="40" spans="1:19" ht="18.75" hidden="1" customHeight="1" x14ac:dyDescent="0.3">
      <c r="A40" s="58">
        <v>55</v>
      </c>
      <c r="B40" s="63" t="s">
        <v>64</v>
      </c>
      <c r="C40" s="125">
        <v>0</v>
      </c>
      <c r="D40" s="58"/>
      <c r="E40" s="125">
        <v>11211</v>
      </c>
      <c r="F40" s="125">
        <v>3183805</v>
      </c>
      <c r="G40" s="123">
        <f>VLOOKUP(B40,[1]AKSoftSalesReport!$C:$D,2,0)</f>
        <v>5132693.75</v>
      </c>
      <c r="H40" s="123">
        <v>8858454.3200000003</v>
      </c>
      <c r="I40" s="123">
        <f t="shared" si="7"/>
        <v>10625531.30857143</v>
      </c>
      <c r="J40" s="2">
        <f t="shared" si="8"/>
        <v>3.5026669395433025E-5</v>
      </c>
      <c r="K40" s="105">
        <f t="shared" si="9"/>
        <v>5.0294753368872597E-3</v>
      </c>
      <c r="L40" s="68">
        <v>0</v>
      </c>
      <c r="M40" s="156">
        <f t="shared" ref="M40:M61" si="10">(G40-F40)/F40</f>
        <v>0.61212566410317215</v>
      </c>
      <c r="N40" s="156">
        <f t="shared" si="5"/>
        <v>0.72588795503335857</v>
      </c>
      <c r="O40" s="156">
        <f t="shared" si="6"/>
        <v>0.19947915570122052</v>
      </c>
      <c r="P40" s="234">
        <v>22</v>
      </c>
      <c r="R40" s="216" t="s">
        <v>118</v>
      </c>
      <c r="S40" s="28">
        <v>8972868.6614285745</v>
      </c>
    </row>
    <row r="41" spans="1:19" ht="18.75" hidden="1" customHeight="1" x14ac:dyDescent="0.3">
      <c r="A41" s="62">
        <v>56</v>
      </c>
      <c r="B41" s="122" t="s">
        <v>68</v>
      </c>
      <c r="C41" s="124">
        <v>0</v>
      </c>
      <c r="D41" s="58"/>
      <c r="E41" s="51">
        <v>0</v>
      </c>
      <c r="F41" s="124">
        <v>32453810.823529411</v>
      </c>
      <c r="G41" s="123">
        <f>VLOOKUP(B41,[1]AKSoftSalesReport!$C:$D,2,0)</f>
        <v>42170143.25</v>
      </c>
      <c r="H41" s="123">
        <v>62756271.379999995</v>
      </c>
      <c r="I41" s="123">
        <f t="shared" si="7"/>
        <v>76628156.047142595</v>
      </c>
      <c r="J41" s="2">
        <f t="shared" si="8"/>
        <v>0</v>
      </c>
      <c r="K41" s="105">
        <f t="shared" si="9"/>
        <v>5.1267474334937599E-2</v>
      </c>
      <c r="L41" s="68">
        <v>0</v>
      </c>
      <c r="M41" s="156">
        <f t="shared" si="10"/>
        <v>0.29938956874137346</v>
      </c>
      <c r="N41" s="156">
        <f t="shared" si="5"/>
        <v>0.48816832345002753</v>
      </c>
      <c r="O41" s="156">
        <f t="shared" si="6"/>
        <v>0.22104379948174355</v>
      </c>
      <c r="P41" s="234">
        <v>22</v>
      </c>
      <c r="R41" s="90" t="s">
        <v>114</v>
      </c>
      <c r="S41" s="28">
        <v>25435578.71571428</v>
      </c>
    </row>
    <row r="42" spans="1:19" ht="18.75" customHeight="1" x14ac:dyDescent="0.3">
      <c r="A42" s="58">
        <v>57</v>
      </c>
      <c r="B42" s="126" t="s">
        <v>73</v>
      </c>
      <c r="C42" s="125">
        <v>0</v>
      </c>
      <c r="D42" s="58"/>
      <c r="E42" s="51">
        <v>0</v>
      </c>
      <c r="F42" s="125">
        <v>8088969</v>
      </c>
      <c r="G42" s="123">
        <f>VLOOKUP(B42,[1]AKSoftSalesReport!$C:$D,2,0)</f>
        <v>11486735.190000001</v>
      </c>
      <c r="H42" s="123">
        <v>14260888.800000001</v>
      </c>
      <c r="I42" s="123">
        <f t="shared" si="7"/>
        <v>14835264.346428579</v>
      </c>
      <c r="J42" s="2">
        <f t="shared" si="8"/>
        <v>0</v>
      </c>
      <c r="K42" s="105">
        <f t="shared" si="9"/>
        <v>1.2778191530682817E-2</v>
      </c>
      <c r="L42" s="68">
        <v>0</v>
      </c>
      <c r="M42" s="156">
        <f t="shared" si="10"/>
        <v>0.42004935239583702</v>
      </c>
      <c r="N42" s="156">
        <f t="shared" si="5"/>
        <v>0.24150932045644199</v>
      </c>
      <c r="O42" s="156">
        <f t="shared" si="6"/>
        <v>4.0276279724485192E-2</v>
      </c>
      <c r="P42" s="215">
        <v>15</v>
      </c>
      <c r="R42" s="216" t="s">
        <v>115</v>
      </c>
      <c r="S42" s="28">
        <v>11397068.255000005</v>
      </c>
    </row>
    <row r="43" spans="1:19" ht="18.75" hidden="1" customHeight="1" x14ac:dyDescent="0.3">
      <c r="A43" s="62">
        <v>58</v>
      </c>
      <c r="B43" s="122" t="s">
        <v>111</v>
      </c>
      <c r="C43" s="124">
        <v>0</v>
      </c>
      <c r="D43" s="58"/>
      <c r="E43" s="51">
        <v>0</v>
      </c>
      <c r="F43" s="124">
        <v>7743462.524271844</v>
      </c>
      <c r="G43" s="123">
        <f>VLOOKUP(B43,[1]AKSoftSalesReport!$C:$D,2,0)</f>
        <v>8087135.5</v>
      </c>
      <c r="H43" s="123">
        <v>9235531.6800000016</v>
      </c>
      <c r="I43" s="123">
        <f t="shared" si="7"/>
        <v>13224539.241428575</v>
      </c>
      <c r="J43" s="2">
        <f t="shared" si="8"/>
        <v>0</v>
      </c>
      <c r="K43" s="105">
        <f t="shared" si="9"/>
        <v>1.2232392934848712E-2</v>
      </c>
      <c r="L43" s="68">
        <v>0</v>
      </c>
      <c r="M43" s="156">
        <f t="shared" si="10"/>
        <v>4.438233860510267E-2</v>
      </c>
      <c r="N43" s="156">
        <f t="shared" si="5"/>
        <v>0.14200283648023476</v>
      </c>
      <c r="O43" s="156">
        <f t="shared" si="6"/>
        <v>0.43191964465532234</v>
      </c>
      <c r="P43" s="233">
        <v>35</v>
      </c>
      <c r="R43" s="90" t="s">
        <v>116</v>
      </c>
      <c r="S43" s="28">
        <v>10768245.058571434</v>
      </c>
    </row>
    <row r="44" spans="1:19" ht="18.75" hidden="1" customHeight="1" x14ac:dyDescent="0.3">
      <c r="A44" s="58">
        <v>59</v>
      </c>
      <c r="B44" s="126" t="s">
        <v>76</v>
      </c>
      <c r="C44" s="125">
        <v>0</v>
      </c>
      <c r="D44" s="58"/>
      <c r="E44" s="51">
        <v>0</v>
      </c>
      <c r="F44" s="125">
        <v>7068909.7674418604</v>
      </c>
      <c r="G44" s="123">
        <f>VLOOKUP(B44,[1]AKSoftSalesReport!$C:$D,2,0)</f>
        <v>9748421</v>
      </c>
      <c r="H44" s="123">
        <v>11122046.800000001</v>
      </c>
      <c r="I44" s="123">
        <v>0</v>
      </c>
      <c r="J44" s="2">
        <f t="shared" si="8"/>
        <v>0</v>
      </c>
      <c r="K44" s="105">
        <f t="shared" si="9"/>
        <v>1.1166798008681528E-2</v>
      </c>
      <c r="L44" s="68">
        <v>0</v>
      </c>
      <c r="M44" s="156">
        <f t="shared" si="10"/>
        <v>0.37905579795338329</v>
      </c>
      <c r="N44" s="156">
        <f t="shared" si="5"/>
        <v>0.14090751722766187</v>
      </c>
      <c r="O44" s="226">
        <v>0</v>
      </c>
      <c r="P44" s="215"/>
      <c r="R44" s="216" t="s">
        <v>121</v>
      </c>
      <c r="S44" s="28">
        <v>5791340.3342857165</v>
      </c>
    </row>
    <row r="45" spans="1:19" ht="18.75" hidden="1" customHeight="1" x14ac:dyDescent="0.3">
      <c r="A45" s="62">
        <v>62</v>
      </c>
      <c r="B45" s="122" t="s">
        <v>86</v>
      </c>
      <c r="C45" s="124">
        <v>0</v>
      </c>
      <c r="D45" s="58"/>
      <c r="E45" s="51">
        <v>0</v>
      </c>
      <c r="F45" s="124">
        <v>9504637.8082191795</v>
      </c>
      <c r="G45" s="123">
        <f>VLOOKUP(B45,[1]AKSoftSalesReport!$C:$D,2,0)</f>
        <v>12680572.5</v>
      </c>
      <c r="H45" s="123">
        <v>17774071.732000001</v>
      </c>
      <c r="I45" s="123">
        <f t="shared" ref="I45:I69" si="11">VLOOKUP(B45,R:S,2,0)</f>
        <v>22556781.529285725</v>
      </c>
      <c r="J45" s="2">
        <f t="shared" si="8"/>
        <v>0</v>
      </c>
      <c r="K45" s="105">
        <f t="shared" si="9"/>
        <v>1.50145318078477E-2</v>
      </c>
      <c r="L45" s="68">
        <v>0</v>
      </c>
      <c r="M45" s="156">
        <f t="shared" si="10"/>
        <v>0.33414578817873691</v>
      </c>
      <c r="N45" s="156">
        <f t="shared" si="5"/>
        <v>0.40167738735770808</v>
      </c>
      <c r="O45" s="156">
        <f t="shared" si="6"/>
        <v>0.26908352061362795</v>
      </c>
      <c r="P45" s="215">
        <v>30</v>
      </c>
      <c r="R45" s="106" t="s">
        <v>254</v>
      </c>
      <c r="S45" s="28">
        <v>7178990.1792857144</v>
      </c>
    </row>
    <row r="46" spans="1:19" ht="18.75" hidden="1" customHeight="1" x14ac:dyDescent="0.3">
      <c r="A46" s="58">
        <v>63</v>
      </c>
      <c r="B46" s="126" t="s">
        <v>112</v>
      </c>
      <c r="C46" s="125">
        <v>0</v>
      </c>
      <c r="D46" s="58"/>
      <c r="E46" s="51">
        <v>0</v>
      </c>
      <c r="F46" s="125">
        <v>4829976</v>
      </c>
      <c r="G46" s="123">
        <f>VLOOKUP(B46,[1]AKSoftSalesReport!$C:$D,2,0)</f>
        <v>7499925.75</v>
      </c>
      <c r="H46" s="123">
        <v>8632400.4499999993</v>
      </c>
      <c r="I46" s="123">
        <f t="shared" si="11"/>
        <v>12395963.734285718</v>
      </c>
      <c r="J46" s="2">
        <f t="shared" si="8"/>
        <v>0</v>
      </c>
      <c r="K46" s="105">
        <f t="shared" si="9"/>
        <v>7.629941271452674E-3</v>
      </c>
      <c r="L46" s="68">
        <v>0</v>
      </c>
      <c r="M46" s="156">
        <f t="shared" si="10"/>
        <v>0.55278737409875334</v>
      </c>
      <c r="N46" s="156">
        <f t="shared" si="5"/>
        <v>0.15099812154806988</v>
      </c>
      <c r="O46" s="156">
        <f t="shared" si="6"/>
        <v>0.43598108151779719</v>
      </c>
      <c r="P46" s="233">
        <v>35</v>
      </c>
      <c r="R46" s="216" t="s">
        <v>13</v>
      </c>
      <c r="S46" s="28">
        <v>18452015.601428572</v>
      </c>
    </row>
    <row r="47" spans="1:19" ht="18.75" hidden="1" customHeight="1" x14ac:dyDescent="0.3">
      <c r="A47" s="62">
        <v>66</v>
      </c>
      <c r="B47" s="122" t="s">
        <v>113</v>
      </c>
      <c r="C47" s="124">
        <v>0</v>
      </c>
      <c r="D47" s="58"/>
      <c r="E47" s="51">
        <v>0</v>
      </c>
      <c r="F47" s="124">
        <v>4517890.9090909092</v>
      </c>
      <c r="G47" s="123">
        <f>VLOOKUP(B47,[1]AKSoftSalesReport!$C:$D,2,0)</f>
        <v>4381470.1900000004</v>
      </c>
      <c r="H47" s="123">
        <v>6524091.7000000002</v>
      </c>
      <c r="I47" s="123">
        <f t="shared" si="11"/>
        <v>8259261.6492857188</v>
      </c>
      <c r="J47" s="2">
        <f t="shared" si="8"/>
        <v>0</v>
      </c>
      <c r="K47" s="105">
        <f t="shared" si="9"/>
        <v>7.1369386322403198E-3</v>
      </c>
      <c r="L47" s="68">
        <v>0</v>
      </c>
      <c r="M47" s="160">
        <f t="shared" si="10"/>
        <v>-3.0195664710806258E-2</v>
      </c>
      <c r="N47" s="156">
        <f t="shared" si="5"/>
        <v>0.48901884917308991</v>
      </c>
      <c r="O47" s="156">
        <f t="shared" si="6"/>
        <v>0.26596345193702881</v>
      </c>
      <c r="P47" s="234">
        <v>30</v>
      </c>
      <c r="R47" s="90" t="s">
        <v>14</v>
      </c>
      <c r="S47" s="28">
        <v>7363242.8185714297</v>
      </c>
    </row>
    <row r="48" spans="1:19" ht="18.75" customHeight="1" x14ac:dyDescent="0.3">
      <c r="A48" s="58">
        <v>67</v>
      </c>
      <c r="B48" s="126" t="s">
        <v>118</v>
      </c>
      <c r="C48" s="125">
        <v>0</v>
      </c>
      <c r="D48" s="58"/>
      <c r="E48" s="51">
        <v>0</v>
      </c>
      <c r="F48" s="125">
        <v>4598637</v>
      </c>
      <c r="G48" s="123">
        <f>VLOOKUP(B48,[1]AKSoftSalesReport!$C:$D,2,0)</f>
        <v>4228874.25</v>
      </c>
      <c r="H48" s="123">
        <v>8972120.3200000003</v>
      </c>
      <c r="I48" s="123">
        <f t="shared" si="11"/>
        <v>8972868.6614285745</v>
      </c>
      <c r="J48" s="2">
        <f t="shared" si="8"/>
        <v>0</v>
      </c>
      <c r="K48" s="105">
        <f t="shared" si="9"/>
        <v>7.2644937032252978E-3</v>
      </c>
      <c r="L48" s="68">
        <v>0</v>
      </c>
      <c r="M48" s="160">
        <f t="shared" si="10"/>
        <v>-8.0407031474760887E-2</v>
      </c>
      <c r="N48" s="156">
        <f t="shared" si="5"/>
        <v>1.1216332739144468</v>
      </c>
      <c r="O48" s="156">
        <f t="shared" si="6"/>
        <v>8.340742231309874E-5</v>
      </c>
      <c r="P48" s="215">
        <v>15</v>
      </c>
      <c r="R48" s="216" t="s">
        <v>15</v>
      </c>
      <c r="S48" s="28">
        <v>8041169.8014285713</v>
      </c>
    </row>
    <row r="49" spans="1:19" ht="18.75" hidden="1" customHeight="1" x14ac:dyDescent="0.3">
      <c r="A49" s="62">
        <v>68</v>
      </c>
      <c r="B49" s="122" t="s">
        <v>114</v>
      </c>
      <c r="C49" s="124">
        <v>0</v>
      </c>
      <c r="D49" s="58"/>
      <c r="E49" s="51">
        <v>0</v>
      </c>
      <c r="F49" s="124">
        <v>7931228.307692307</v>
      </c>
      <c r="G49" s="123">
        <f>VLOOKUP(B49,[1]AKSoftSalesReport!$C:$D,2,0)</f>
        <v>8030243.25</v>
      </c>
      <c r="H49" s="123">
        <v>17032772.190000001</v>
      </c>
      <c r="I49" s="123">
        <f t="shared" si="11"/>
        <v>25435578.71571428</v>
      </c>
      <c r="J49" s="2">
        <f t="shared" si="8"/>
        <v>0</v>
      </c>
      <c r="K49" s="105">
        <f t="shared" si="9"/>
        <v>1.2529007638583563E-2</v>
      </c>
      <c r="L49" s="68">
        <v>0</v>
      </c>
      <c r="M49" s="160">
        <f t="shared" si="10"/>
        <v>1.2484187627238109E-2</v>
      </c>
      <c r="N49" s="156">
        <f t="shared" si="5"/>
        <v>1.1210779872701866</v>
      </c>
      <c r="O49" s="156">
        <f t="shared" si="6"/>
        <v>0.49333170384604774</v>
      </c>
      <c r="P49" s="215">
        <v>5</v>
      </c>
      <c r="R49" s="106" t="s">
        <v>225</v>
      </c>
      <c r="S49" s="28">
        <v>6105021.2128571421</v>
      </c>
    </row>
    <row r="50" spans="1:19" ht="18.75" hidden="1" customHeight="1" x14ac:dyDescent="0.3">
      <c r="A50" s="58">
        <v>69</v>
      </c>
      <c r="B50" s="126" t="s">
        <v>115</v>
      </c>
      <c r="C50" s="125">
        <v>0</v>
      </c>
      <c r="D50" s="58"/>
      <c r="E50" s="51">
        <v>0</v>
      </c>
      <c r="F50" s="125">
        <v>6020046</v>
      </c>
      <c r="G50" s="123">
        <f>VLOOKUP(B50,[1]AKSoftSalesReport!$C:$D,2,0)</f>
        <v>6073492.5</v>
      </c>
      <c r="H50" s="123">
        <v>8693873.4860000014</v>
      </c>
      <c r="I50" s="123">
        <f t="shared" si="11"/>
        <v>11397068.255000005</v>
      </c>
      <c r="J50" s="2">
        <f t="shared" si="8"/>
        <v>0</v>
      </c>
      <c r="K50" s="105">
        <f t="shared" si="9"/>
        <v>9.509901794841959E-3</v>
      </c>
      <c r="L50" s="68">
        <v>0</v>
      </c>
      <c r="M50" s="160">
        <f t="shared" si="10"/>
        <v>8.8780883069664255E-3</v>
      </c>
      <c r="N50" s="156">
        <f t="shared" si="5"/>
        <v>0.43144549631040152</v>
      </c>
      <c r="O50" s="156">
        <f t="shared" si="6"/>
        <v>0.31093099909413641</v>
      </c>
      <c r="P50" s="215">
        <v>30</v>
      </c>
      <c r="R50" s="216" t="s">
        <v>86</v>
      </c>
      <c r="S50" s="28">
        <v>22556781.529285725</v>
      </c>
    </row>
    <row r="51" spans="1:19" ht="18.75" customHeight="1" x14ac:dyDescent="0.3">
      <c r="A51" s="62">
        <v>70</v>
      </c>
      <c r="B51" s="122" t="s">
        <v>116</v>
      </c>
      <c r="C51" s="124">
        <v>0</v>
      </c>
      <c r="D51" s="58"/>
      <c r="E51" s="51">
        <v>0</v>
      </c>
      <c r="F51" s="124">
        <v>6925989</v>
      </c>
      <c r="G51" s="123">
        <f>VLOOKUP(B51,[1]AKSoftSalesReport!$C:$D,2,0)</f>
        <v>8821579.25</v>
      </c>
      <c r="H51" s="123">
        <v>12103010.060000001</v>
      </c>
      <c r="I51" s="123">
        <f t="shared" si="11"/>
        <v>10768245.058571434</v>
      </c>
      <c r="J51" s="2">
        <f t="shared" si="8"/>
        <v>0</v>
      </c>
      <c r="K51" s="105">
        <f t="shared" si="9"/>
        <v>1.0941025238371212E-2</v>
      </c>
      <c r="L51" s="68">
        <v>0</v>
      </c>
      <c r="M51" s="156">
        <f t="shared" si="10"/>
        <v>0.27369235642736367</v>
      </c>
      <c r="N51" s="156">
        <f t="shared" si="5"/>
        <v>0.3719777056925494</v>
      </c>
      <c r="O51" s="156">
        <f t="shared" si="6"/>
        <v>-0.11028372238075847</v>
      </c>
      <c r="P51">
        <v>15</v>
      </c>
      <c r="R51" s="90" t="s">
        <v>78</v>
      </c>
      <c r="S51" s="28">
        <v>2715794.7142857146</v>
      </c>
    </row>
    <row r="52" spans="1:19" ht="18.75" customHeight="1" x14ac:dyDescent="0.3">
      <c r="A52" s="58">
        <v>71</v>
      </c>
      <c r="B52" s="126" t="s">
        <v>85</v>
      </c>
      <c r="C52" s="125">
        <v>0</v>
      </c>
      <c r="D52" s="58"/>
      <c r="E52" s="51">
        <v>0</v>
      </c>
      <c r="F52" s="125">
        <v>33645897.473684207</v>
      </c>
      <c r="G52" s="123">
        <f>VLOOKUP(B52,[1]AKSoftSalesReport!$C:$D,2,0)</f>
        <v>44167685.329999998</v>
      </c>
      <c r="H52" s="123">
        <v>51072016.765999995</v>
      </c>
      <c r="I52" s="123">
        <f t="shared" si="11"/>
        <v>53776176.281428359</v>
      </c>
      <c r="J52" s="2">
        <f t="shared" si="8"/>
        <v>0</v>
      </c>
      <c r="K52" s="105">
        <f t="shared" si="9"/>
        <v>5.3150620572344126E-2</v>
      </c>
      <c r="L52" s="68">
        <v>0</v>
      </c>
      <c r="M52" s="156">
        <f t="shared" si="10"/>
        <v>0.31272127202269756</v>
      </c>
      <c r="N52" s="156">
        <f t="shared" si="5"/>
        <v>0.15632087994682325</v>
      </c>
      <c r="O52" s="156">
        <f t="shared" si="6"/>
        <v>5.2947968117613001E-2</v>
      </c>
      <c r="P52" s="215">
        <v>15</v>
      </c>
      <c r="R52" s="216" t="s">
        <v>61</v>
      </c>
      <c r="S52" s="28">
        <v>4997053.1742857154</v>
      </c>
    </row>
    <row r="53" spans="1:19" ht="18.75" hidden="1" customHeight="1" x14ac:dyDescent="0.3">
      <c r="A53" s="58">
        <v>73</v>
      </c>
      <c r="B53" s="231" t="s">
        <v>92</v>
      </c>
      <c r="C53" s="125">
        <v>0</v>
      </c>
      <c r="D53" s="127"/>
      <c r="E53" s="51">
        <v>0</v>
      </c>
      <c r="F53" s="125">
        <v>2943558.8571428573</v>
      </c>
      <c r="G53" s="123">
        <f>VLOOKUP(B53,[1]AKSoftSalesReport!$C:$D,2,0)</f>
        <v>5680830</v>
      </c>
      <c r="H53" s="123">
        <v>11306594.960000001</v>
      </c>
      <c r="I53" s="123">
        <f t="shared" si="11"/>
        <v>18805487.557142865</v>
      </c>
      <c r="J53" s="2">
        <f t="shared" si="8"/>
        <v>0</v>
      </c>
      <c r="K53" s="105">
        <f t="shared" si="9"/>
        <v>4.649957103112801E-3</v>
      </c>
      <c r="L53" s="68">
        <v>0</v>
      </c>
      <c r="M53" s="156">
        <f t="shared" si="10"/>
        <v>0.92991894359946781</v>
      </c>
      <c r="N53" s="156">
        <f t="shared" si="5"/>
        <v>0.99030686713033145</v>
      </c>
      <c r="O53" s="156">
        <f t="shared" si="6"/>
        <v>0.66323173543158953</v>
      </c>
      <c r="P53" s="215">
        <v>35</v>
      </c>
      <c r="R53" s="90" t="s">
        <v>112</v>
      </c>
      <c r="S53" s="28">
        <v>12395963.734285718</v>
      </c>
    </row>
    <row r="54" spans="1:19" ht="18.75" hidden="1" customHeight="1" x14ac:dyDescent="0.3">
      <c r="A54" s="62">
        <v>74</v>
      </c>
      <c r="B54" s="122" t="s">
        <v>100</v>
      </c>
      <c r="C54" s="124">
        <v>0</v>
      </c>
      <c r="D54" s="107"/>
      <c r="E54" s="107">
        <v>0</v>
      </c>
      <c r="F54" s="124">
        <v>6324668</v>
      </c>
      <c r="G54" s="123">
        <f>VLOOKUP(B54,[1]AKSoftSalesReport!$C:$D,2,0)</f>
        <v>8066310</v>
      </c>
      <c r="H54" s="123">
        <v>11618986.200000001</v>
      </c>
      <c r="I54" s="123">
        <f t="shared" si="11"/>
        <v>13242368.315714289</v>
      </c>
      <c r="J54" s="2">
        <f t="shared" si="8"/>
        <v>0</v>
      </c>
      <c r="K54" s="105">
        <f t="shared" si="9"/>
        <v>9.9911149457960133E-3</v>
      </c>
      <c r="L54" s="68">
        <v>0</v>
      </c>
      <c r="M54" s="156">
        <f t="shared" si="10"/>
        <v>0.27537287332710586</v>
      </c>
      <c r="N54" s="156">
        <f t="shared" si="5"/>
        <v>0.44043387868802475</v>
      </c>
      <c r="O54" s="156">
        <f t="shared" si="6"/>
        <v>0.13971805179648869</v>
      </c>
      <c r="P54" s="215">
        <v>20</v>
      </c>
      <c r="R54" s="217" t="s">
        <v>231</v>
      </c>
      <c r="S54" s="28">
        <v>983063.62</v>
      </c>
    </row>
    <row r="55" spans="1:19" ht="18.75" customHeight="1" x14ac:dyDescent="0.3">
      <c r="A55" s="58">
        <v>75</v>
      </c>
      <c r="B55" s="259" t="s">
        <v>104</v>
      </c>
      <c r="C55" s="125">
        <v>0</v>
      </c>
      <c r="D55" s="107"/>
      <c r="E55" s="107">
        <v>0</v>
      </c>
      <c r="F55" s="125">
        <v>6322312.9411764704</v>
      </c>
      <c r="G55" s="123">
        <f>VLOOKUP(B55,[1]AKSoftSalesReport!$C:$D,2,0)</f>
        <v>6148170.6899999995</v>
      </c>
      <c r="H55" s="123">
        <v>8260132.9000000004</v>
      </c>
      <c r="I55" s="123">
        <f t="shared" si="11"/>
        <v>5589002.1742857145</v>
      </c>
      <c r="J55" s="2">
        <f t="shared" si="8"/>
        <v>0</v>
      </c>
      <c r="K55" s="105">
        <f t="shared" si="9"/>
        <v>9.98739464563006E-3</v>
      </c>
      <c r="L55" s="68">
        <v>0</v>
      </c>
      <c r="M55" s="160">
        <f t="shared" si="10"/>
        <v>-2.7544073315685334E-2</v>
      </c>
      <c r="N55" s="156">
        <f t="shared" si="5"/>
        <v>0.34351066625965798</v>
      </c>
      <c r="O55" s="156">
        <f t="shared" si="6"/>
        <v>-0.32337624080047012</v>
      </c>
      <c r="P55" s="257">
        <v>15</v>
      </c>
      <c r="R55" s="90" t="s">
        <v>142</v>
      </c>
      <c r="S55" s="28">
        <v>23839028.465714291</v>
      </c>
    </row>
    <row r="56" spans="1:19" ht="18.75" customHeight="1" x14ac:dyDescent="0.3">
      <c r="A56" s="58">
        <v>77</v>
      </c>
      <c r="B56" s="259" t="s">
        <v>87</v>
      </c>
      <c r="C56" s="125">
        <v>0</v>
      </c>
      <c r="D56" s="107"/>
      <c r="E56" s="107">
        <v>0</v>
      </c>
      <c r="F56" s="125">
        <v>13457633.454545455</v>
      </c>
      <c r="G56" s="123">
        <f>VLOOKUP(B56,[1]AKSoftSalesReport!$C:$D,2,0)</f>
        <v>13218867.25</v>
      </c>
      <c r="H56" s="123">
        <v>14605747.01</v>
      </c>
      <c r="I56" s="123">
        <f t="shared" si="11"/>
        <v>13295830.375714289</v>
      </c>
      <c r="J56" s="2">
        <f t="shared" si="8"/>
        <v>0</v>
      </c>
      <c r="K56" s="105">
        <f t="shared" si="9"/>
        <v>2.125910209717783E-2</v>
      </c>
      <c r="L56" s="68">
        <v>0</v>
      </c>
      <c r="M56" s="160">
        <f t="shared" si="10"/>
        <v>-1.7742064780699559E-2</v>
      </c>
      <c r="N56" s="156">
        <f t="shared" si="5"/>
        <v>0.10491668716924286</v>
      </c>
      <c r="O56" s="156">
        <f t="shared" si="6"/>
        <v>-8.9685014630806664E-2</v>
      </c>
      <c r="P56" s="257">
        <v>15</v>
      </c>
      <c r="R56" s="216" t="s">
        <v>8</v>
      </c>
      <c r="S56" s="28">
        <v>49549498.95928555</v>
      </c>
    </row>
    <row r="57" spans="1:19" ht="18.75" hidden="1" customHeight="1" x14ac:dyDescent="0.3">
      <c r="A57" s="62">
        <v>78</v>
      </c>
      <c r="B57" s="122" t="s">
        <v>88</v>
      </c>
      <c r="C57" s="124">
        <v>0</v>
      </c>
      <c r="D57" s="107"/>
      <c r="E57" s="107">
        <v>0</v>
      </c>
      <c r="F57" s="124">
        <v>11208980</v>
      </c>
      <c r="G57" s="123">
        <f>VLOOKUP(B57,[1]AKSoftSalesReport!$C:$D,2,0)</f>
        <v>18965504.25</v>
      </c>
      <c r="H57" s="123">
        <v>30318006.79999999</v>
      </c>
      <c r="I57" s="123">
        <f t="shared" si="11"/>
        <v>43209215.148571156</v>
      </c>
      <c r="J57" s="2">
        <f t="shared" si="8"/>
        <v>0</v>
      </c>
      <c r="K57" s="105">
        <f t="shared" si="9"/>
        <v>1.7706891113514353E-2</v>
      </c>
      <c r="L57" s="68">
        <v>0</v>
      </c>
      <c r="M57" s="156">
        <f t="shared" si="10"/>
        <v>0.69199197875274998</v>
      </c>
      <c r="N57" s="156">
        <f t="shared" si="5"/>
        <v>0.59858690812294058</v>
      </c>
      <c r="O57" s="156">
        <f t="shared" si="6"/>
        <v>0.42519973142070705</v>
      </c>
      <c r="P57" s="233">
        <v>35</v>
      </c>
      <c r="R57" s="106" t="s">
        <v>222</v>
      </c>
      <c r="S57" s="28">
        <v>13147683.977857146</v>
      </c>
    </row>
    <row r="58" spans="1:19" ht="18.75" hidden="1" customHeight="1" x14ac:dyDescent="0.3">
      <c r="A58" s="58">
        <v>79</v>
      </c>
      <c r="B58" s="126" t="s">
        <v>94</v>
      </c>
      <c r="C58" s="125">
        <v>0</v>
      </c>
      <c r="D58" s="107"/>
      <c r="E58" s="107">
        <v>0</v>
      </c>
      <c r="F58" s="125">
        <v>7813148</v>
      </c>
      <c r="G58" s="123">
        <f>VLOOKUP(B58,[1]AKSoftSalesReport!$C:$D,2,0)</f>
        <v>11039510.5</v>
      </c>
      <c r="H58" s="123">
        <v>17759198.469999999</v>
      </c>
      <c r="I58" s="123">
        <f t="shared" si="11"/>
        <v>25117650.687142853</v>
      </c>
      <c r="J58" s="2">
        <f t="shared" si="8"/>
        <v>0</v>
      </c>
      <c r="K58" s="105">
        <f t="shared" si="9"/>
        <v>1.2342475487490604E-2</v>
      </c>
      <c r="L58" s="68">
        <v>0</v>
      </c>
      <c r="M58" s="156">
        <f t="shared" si="10"/>
        <v>0.41294014909227367</v>
      </c>
      <c r="N58" s="156">
        <f t="shared" si="5"/>
        <v>0.608694377345807</v>
      </c>
      <c r="O58" s="156">
        <f t="shared" si="6"/>
        <v>0.41434596440674015</v>
      </c>
      <c r="P58" s="233">
        <v>35</v>
      </c>
      <c r="R58" s="216" t="s">
        <v>91</v>
      </c>
      <c r="S58" s="28">
        <v>24246723.442857146</v>
      </c>
    </row>
    <row r="59" spans="1:19" ht="18.75" hidden="1" customHeight="1" x14ac:dyDescent="0.3">
      <c r="A59" s="62">
        <v>80</v>
      </c>
      <c r="B59" s="122" t="s">
        <v>101</v>
      </c>
      <c r="C59" s="124">
        <v>0</v>
      </c>
      <c r="D59" s="107"/>
      <c r="E59" s="107">
        <v>0</v>
      </c>
      <c r="F59" s="124">
        <v>5519096.666666666</v>
      </c>
      <c r="G59" s="123">
        <f>VLOOKUP(B59,[1]AKSoftSalesReport!$C:$D,2,0)</f>
        <v>11941899.379999999</v>
      </c>
      <c r="H59" s="123">
        <v>17270170.467999998</v>
      </c>
      <c r="I59" s="123">
        <f t="shared" si="11"/>
        <v>24976872.800714288</v>
      </c>
      <c r="J59" s="2">
        <f t="shared" si="8"/>
        <v>0</v>
      </c>
      <c r="K59" s="105">
        <f t="shared" si="9"/>
        <v>8.7185492097966687E-3</v>
      </c>
      <c r="L59" s="68">
        <v>0</v>
      </c>
      <c r="M59" s="156">
        <f t="shared" si="10"/>
        <v>1.1637416594140708</v>
      </c>
      <c r="N59" s="156">
        <f t="shared" si="5"/>
        <v>0.44618288250892968</v>
      </c>
      <c r="O59" s="156">
        <f t="shared" si="6"/>
        <v>0.44624355891530337</v>
      </c>
      <c r="P59" s="233">
        <v>35</v>
      </c>
      <c r="R59" s="90" t="s">
        <v>143</v>
      </c>
      <c r="S59" s="28">
        <v>5122535.069285715</v>
      </c>
    </row>
    <row r="60" spans="1:19" ht="18.75" hidden="1" customHeight="1" x14ac:dyDescent="0.3">
      <c r="A60" s="58">
        <v>81</v>
      </c>
      <c r="B60" s="126" t="s">
        <v>117</v>
      </c>
      <c r="C60" s="125">
        <v>0</v>
      </c>
      <c r="D60" s="107"/>
      <c r="E60" s="107">
        <v>0</v>
      </c>
      <c r="F60" s="125">
        <v>5576250</v>
      </c>
      <c r="G60" s="123">
        <f>VLOOKUP(B60,[1]AKSoftSalesReport!$C:$D,2,0)</f>
        <v>14630461.75</v>
      </c>
      <c r="H60" s="123">
        <v>25081479.75</v>
      </c>
      <c r="I60" s="123">
        <f t="shared" si="11"/>
        <v>32413078.41785714</v>
      </c>
      <c r="J60" s="2">
        <f t="shared" si="8"/>
        <v>0</v>
      </c>
      <c r="K60" s="105">
        <f t="shared" si="9"/>
        <v>8.8088346639689247E-3</v>
      </c>
      <c r="L60" s="68">
        <v>0</v>
      </c>
      <c r="M60" s="156">
        <f t="shared" si="10"/>
        <v>1.6237097960098632</v>
      </c>
      <c r="N60" s="156">
        <f t="shared" si="5"/>
        <v>0.71433275166451937</v>
      </c>
      <c r="O60" s="156">
        <f t="shared" si="6"/>
        <v>0.29231124881525938</v>
      </c>
      <c r="P60" s="215">
        <v>30</v>
      </c>
      <c r="R60" s="216" t="s">
        <v>92</v>
      </c>
      <c r="S60" s="28">
        <v>18805487.557142865</v>
      </c>
    </row>
    <row r="61" spans="1:19" ht="18.75" hidden="1" customHeight="1" x14ac:dyDescent="0.3">
      <c r="A61" s="62">
        <v>82</v>
      </c>
      <c r="B61" s="122" t="s">
        <v>89</v>
      </c>
      <c r="C61" s="124">
        <v>0</v>
      </c>
      <c r="D61" s="107"/>
      <c r="E61" s="107">
        <v>0</v>
      </c>
      <c r="F61" s="124">
        <v>8645683.6363636367</v>
      </c>
      <c r="G61" s="123">
        <f>VLOOKUP(B61,[1]AKSoftSalesReport!$C:$D,2,0)</f>
        <v>16895217.75</v>
      </c>
      <c r="H61" s="123">
        <v>27152907.109999999</v>
      </c>
      <c r="I61" s="123">
        <f t="shared" si="11"/>
        <v>40202826.411428526</v>
      </c>
      <c r="J61" s="2">
        <f t="shared" si="8"/>
        <v>0</v>
      </c>
      <c r="K61" s="105">
        <f t="shared" si="9"/>
        <v>1.365763689033112E-2</v>
      </c>
      <c r="L61" s="68">
        <v>0</v>
      </c>
      <c r="M61" s="156">
        <f t="shared" si="10"/>
        <v>0.95417950281443642</v>
      </c>
      <c r="N61" s="156">
        <f t="shared" si="5"/>
        <v>0.60713567068409047</v>
      </c>
      <c r="O61" s="156">
        <f t="shared" si="6"/>
        <v>0.48060854952147797</v>
      </c>
      <c r="P61" s="215">
        <v>30</v>
      </c>
      <c r="R61" s="90" t="s">
        <v>104</v>
      </c>
      <c r="S61" s="28">
        <v>5589002.1742857145</v>
      </c>
    </row>
    <row r="62" spans="1:19" ht="18.75" hidden="1" customHeight="1" x14ac:dyDescent="0.3">
      <c r="A62" s="128"/>
      <c r="B62" s="129" t="s">
        <v>152</v>
      </c>
      <c r="C62" s="130"/>
      <c r="D62" s="109"/>
      <c r="E62" s="109"/>
      <c r="F62" s="130"/>
      <c r="G62" s="123">
        <v>0</v>
      </c>
      <c r="H62" s="123">
        <v>8004860.0000000009</v>
      </c>
      <c r="I62" s="123">
        <f t="shared" si="11"/>
        <v>12160280.644285714</v>
      </c>
      <c r="J62" s="131"/>
      <c r="K62" s="105"/>
      <c r="L62" s="132"/>
      <c r="M62" s="158"/>
      <c r="N62" s="156">
        <v>0</v>
      </c>
      <c r="O62" s="156">
        <f t="shared" si="6"/>
        <v>0.51911221986214784</v>
      </c>
      <c r="P62" s="233">
        <v>35</v>
      </c>
      <c r="R62" s="216" t="s">
        <v>9</v>
      </c>
      <c r="S62" s="28">
        <v>5296883.7521428578</v>
      </c>
    </row>
    <row r="63" spans="1:19" ht="18.75" hidden="1" customHeight="1" x14ac:dyDescent="0.3">
      <c r="A63" s="128"/>
      <c r="B63" s="230" t="s">
        <v>146</v>
      </c>
      <c r="C63" s="130"/>
      <c r="D63" s="109"/>
      <c r="E63" s="109"/>
      <c r="F63" s="130"/>
      <c r="G63" s="123">
        <v>0</v>
      </c>
      <c r="H63" s="123">
        <v>3934668.2249999996</v>
      </c>
      <c r="I63" s="123">
        <f t="shared" si="11"/>
        <v>6796878.1585714323</v>
      </c>
      <c r="J63" s="131"/>
      <c r="K63" s="105"/>
      <c r="L63" s="132"/>
      <c r="M63" s="158"/>
      <c r="N63" s="156">
        <v>0</v>
      </c>
      <c r="O63" s="156">
        <f t="shared" si="6"/>
        <v>0.72743361572027665</v>
      </c>
      <c r="P63" s="215">
        <v>35</v>
      </c>
      <c r="R63" s="90" t="s">
        <v>93</v>
      </c>
      <c r="S63" s="28">
        <v>21444679.694285713</v>
      </c>
    </row>
    <row r="64" spans="1:19" ht="18.75" hidden="1" customHeight="1" x14ac:dyDescent="0.3">
      <c r="A64" s="128"/>
      <c r="B64" s="129" t="s">
        <v>145</v>
      </c>
      <c r="C64" s="130"/>
      <c r="D64" s="109"/>
      <c r="E64" s="109"/>
      <c r="F64" s="130"/>
      <c r="G64" s="123">
        <v>0</v>
      </c>
      <c r="H64" s="123">
        <v>5316331.8000000007</v>
      </c>
      <c r="I64" s="123">
        <f t="shared" si="11"/>
        <v>7104700.9285714291</v>
      </c>
      <c r="J64" s="131"/>
      <c r="K64" s="105"/>
      <c r="L64" s="132"/>
      <c r="M64" s="158"/>
      <c r="N64" s="156">
        <v>0</v>
      </c>
      <c r="O64" s="156">
        <f t="shared" si="6"/>
        <v>0.33639155640575857</v>
      </c>
      <c r="P64" s="233">
        <v>35</v>
      </c>
      <c r="R64" s="216" t="s">
        <v>100</v>
      </c>
      <c r="S64" s="28">
        <v>13242368.315714289</v>
      </c>
    </row>
    <row r="65" spans="1:19" ht="18.75" customHeight="1" x14ac:dyDescent="0.3">
      <c r="A65" s="128"/>
      <c r="B65" s="129" t="s">
        <v>143</v>
      </c>
      <c r="C65" s="130"/>
      <c r="D65" s="109"/>
      <c r="E65" s="109"/>
      <c r="F65" s="130"/>
      <c r="G65" s="123">
        <v>0</v>
      </c>
      <c r="H65" s="123">
        <v>5337376.8</v>
      </c>
      <c r="I65" s="123">
        <f t="shared" si="11"/>
        <v>5122535.069285715</v>
      </c>
      <c r="J65" s="131"/>
      <c r="K65" s="105"/>
      <c r="L65" s="132"/>
      <c r="M65" s="158"/>
      <c r="N65" s="156">
        <v>0</v>
      </c>
      <c r="O65" s="156">
        <f t="shared" si="6"/>
        <v>-4.0252307222207885E-2</v>
      </c>
      <c r="P65" s="215">
        <v>15</v>
      </c>
      <c r="R65" s="90" t="s">
        <v>85</v>
      </c>
      <c r="S65" s="28">
        <v>53776176.281428359</v>
      </c>
    </row>
    <row r="66" spans="1:19" ht="18.75" hidden="1" customHeight="1" x14ac:dyDescent="0.3">
      <c r="A66" s="128"/>
      <c r="B66" s="230" t="s">
        <v>149</v>
      </c>
      <c r="C66" s="130"/>
      <c r="D66" s="109"/>
      <c r="E66" s="109"/>
      <c r="F66" s="130"/>
      <c r="G66" s="123">
        <v>0</v>
      </c>
      <c r="H66" s="123">
        <v>9242140.5</v>
      </c>
      <c r="I66" s="123">
        <f t="shared" si="11"/>
        <v>13237086.884285722</v>
      </c>
      <c r="J66" s="131"/>
      <c r="K66" s="105"/>
      <c r="L66" s="132"/>
      <c r="M66" s="158"/>
      <c r="N66" s="156">
        <v>0</v>
      </c>
      <c r="O66" s="156">
        <f t="shared" si="6"/>
        <v>0.43225337077333137</v>
      </c>
      <c r="P66" s="215">
        <v>35</v>
      </c>
      <c r="R66" s="216" t="s">
        <v>87</v>
      </c>
      <c r="S66" s="28">
        <v>13295830.375714289</v>
      </c>
    </row>
    <row r="67" spans="1:19" ht="18.75" customHeight="1" x14ac:dyDescent="0.3">
      <c r="A67" s="128"/>
      <c r="B67" s="260" t="s">
        <v>148</v>
      </c>
      <c r="C67" s="130"/>
      <c r="D67" s="109"/>
      <c r="E67" s="109"/>
      <c r="F67" s="130"/>
      <c r="G67" s="123">
        <v>0</v>
      </c>
      <c r="H67" s="123">
        <v>13720607.15</v>
      </c>
      <c r="I67" s="123">
        <f t="shared" si="11"/>
        <v>13557293.637142858</v>
      </c>
      <c r="J67" s="131"/>
      <c r="K67" s="105"/>
      <c r="L67" s="132"/>
      <c r="M67" s="158"/>
      <c r="N67" s="156">
        <v>0</v>
      </c>
      <c r="O67" s="156">
        <f t="shared" ref="O67:O83" si="12">(I67-H67)/H67</f>
        <v>-1.1902790530457162E-2</v>
      </c>
      <c r="P67" s="257">
        <v>15</v>
      </c>
      <c r="R67" s="106" t="s">
        <v>223</v>
      </c>
      <c r="S67" s="28">
        <v>13874816.717142859</v>
      </c>
    </row>
    <row r="68" spans="1:19" ht="18.75" hidden="1" customHeight="1" x14ac:dyDescent="0.3">
      <c r="A68" s="128"/>
      <c r="B68" s="230" t="s">
        <v>139</v>
      </c>
      <c r="C68" s="130"/>
      <c r="D68" s="109"/>
      <c r="E68" s="109"/>
      <c r="F68" s="130"/>
      <c r="G68" s="123">
        <f>VLOOKUP(B68,[1]AKSoftSalesReport!$C:$D,2,0)</f>
        <v>1487370.69</v>
      </c>
      <c r="H68" s="123">
        <v>16317041.35</v>
      </c>
      <c r="I68" s="123">
        <f t="shared" si="11"/>
        <v>23352979.587857146</v>
      </c>
      <c r="J68" s="131"/>
      <c r="K68" s="105"/>
      <c r="L68" s="132"/>
      <c r="M68" s="158"/>
      <c r="N68" s="156">
        <f t="shared" ref="N68:N83" si="13">(H68-G68)/G68</f>
        <v>9.9703932312932704</v>
      </c>
      <c r="O68" s="156">
        <f t="shared" si="12"/>
        <v>0.4312018390427837</v>
      </c>
      <c r="P68" s="215">
        <v>35</v>
      </c>
      <c r="R68" s="216" t="s">
        <v>18</v>
      </c>
      <c r="S68" s="28">
        <v>42343993.234285481</v>
      </c>
    </row>
    <row r="69" spans="1:19" ht="18.75" hidden="1" customHeight="1" x14ac:dyDescent="0.3">
      <c r="A69" s="128"/>
      <c r="B69" s="129" t="s">
        <v>150</v>
      </c>
      <c r="C69" s="130"/>
      <c r="D69" s="109"/>
      <c r="E69" s="109"/>
      <c r="F69" s="130"/>
      <c r="G69" s="123">
        <v>0</v>
      </c>
      <c r="H69" s="123">
        <v>21032281.075068492</v>
      </c>
      <c r="I69" s="123">
        <f t="shared" si="11"/>
        <v>28499428.839285713</v>
      </c>
      <c r="J69" s="131"/>
      <c r="K69" s="105"/>
      <c r="L69" s="132"/>
      <c r="M69" s="158"/>
      <c r="N69" s="156">
        <v>0</v>
      </c>
      <c r="O69" s="156">
        <f t="shared" si="12"/>
        <v>0.35503271079182758</v>
      </c>
      <c r="P69" s="233">
        <v>35</v>
      </c>
      <c r="R69" s="90" t="s">
        <v>11</v>
      </c>
      <c r="S69" s="28">
        <v>9063614.7050000094</v>
      </c>
    </row>
    <row r="70" spans="1:19" ht="18.75" hidden="1" customHeight="1" x14ac:dyDescent="0.3">
      <c r="A70" s="128"/>
      <c r="B70" s="129" t="s">
        <v>147</v>
      </c>
      <c r="C70" s="130"/>
      <c r="D70" s="109"/>
      <c r="E70" s="109"/>
      <c r="F70" s="130"/>
      <c r="G70" s="123">
        <v>0</v>
      </c>
      <c r="H70" s="123">
        <v>9396954.9818181824</v>
      </c>
      <c r="I70" s="123">
        <v>0</v>
      </c>
      <c r="J70" s="131"/>
      <c r="K70" s="105"/>
      <c r="L70" s="132"/>
      <c r="M70" s="158"/>
      <c r="N70" s="156">
        <v>0</v>
      </c>
      <c r="O70" s="226">
        <v>0</v>
      </c>
      <c r="P70" s="215"/>
      <c r="R70" s="216" t="s">
        <v>12</v>
      </c>
      <c r="S70" s="28">
        <v>6246634.6185714342</v>
      </c>
    </row>
    <row r="71" spans="1:19" ht="18.75" hidden="1" customHeight="1" x14ac:dyDescent="0.3">
      <c r="A71" s="128"/>
      <c r="B71" s="129" t="s">
        <v>144</v>
      </c>
      <c r="C71" s="130"/>
      <c r="D71" s="109"/>
      <c r="E71" s="109"/>
      <c r="F71" s="130"/>
      <c r="G71" s="123">
        <v>0</v>
      </c>
      <c r="H71" s="123">
        <v>16936733.93</v>
      </c>
      <c r="I71" s="123">
        <f t="shared" ref="I71:I78" si="14">VLOOKUP(B71,R:S,2,0)</f>
        <v>23246704.676428575</v>
      </c>
      <c r="J71" s="131"/>
      <c r="K71" s="105"/>
      <c r="L71" s="132"/>
      <c r="M71" s="158"/>
      <c r="N71" s="156">
        <v>0</v>
      </c>
      <c r="O71" s="156">
        <f t="shared" si="12"/>
        <v>0.37256124896971654</v>
      </c>
      <c r="P71" s="233">
        <v>35</v>
      </c>
      <c r="R71" s="90" t="s">
        <v>146</v>
      </c>
      <c r="S71" s="28">
        <v>6796878.1585714323</v>
      </c>
    </row>
    <row r="72" spans="1:19" ht="18.75" hidden="1" customHeight="1" x14ac:dyDescent="0.3">
      <c r="A72" s="128"/>
      <c r="B72" s="129" t="s">
        <v>140</v>
      </c>
      <c r="C72" s="130"/>
      <c r="D72" s="109"/>
      <c r="E72" s="109"/>
      <c r="F72" s="130"/>
      <c r="G72" s="123">
        <f>VLOOKUP(B72,[1]AKSoftSalesReport!$C:$D,2,0)</f>
        <v>892177</v>
      </c>
      <c r="H72" s="123">
        <v>9474249.7100000009</v>
      </c>
      <c r="I72" s="123">
        <f t="shared" si="14"/>
        <v>12700489.925714293</v>
      </c>
      <c r="J72" s="131"/>
      <c r="K72" s="105"/>
      <c r="L72" s="132"/>
      <c r="M72" s="158"/>
      <c r="N72" s="156">
        <f t="shared" si="13"/>
        <v>9.6192489943139101</v>
      </c>
      <c r="O72" s="156">
        <f t="shared" si="12"/>
        <v>0.340527251705116</v>
      </c>
      <c r="P72" s="233">
        <v>35</v>
      </c>
      <c r="R72" s="216" t="s">
        <v>88</v>
      </c>
      <c r="S72" s="28">
        <v>43209215.148571156</v>
      </c>
    </row>
    <row r="73" spans="1:19" ht="18.75" hidden="1" customHeight="1" x14ac:dyDescent="0.3">
      <c r="A73" s="128"/>
      <c r="B73" s="129" t="s">
        <v>142</v>
      </c>
      <c r="C73" s="130"/>
      <c r="D73" s="109"/>
      <c r="E73" s="109"/>
      <c r="F73" s="130"/>
      <c r="G73" s="123">
        <f>VLOOKUP(B73,[1]AKSoftSalesReport!$C:$D,2,0)</f>
        <v>563409</v>
      </c>
      <c r="H73" s="123">
        <v>14677110.6</v>
      </c>
      <c r="I73" s="123">
        <f t="shared" si="14"/>
        <v>23839028.465714291</v>
      </c>
      <c r="J73" s="131"/>
      <c r="K73" s="105"/>
      <c r="L73" s="132"/>
      <c r="M73" s="158"/>
      <c r="N73" s="156">
        <f t="shared" si="13"/>
        <v>25.050543388550768</v>
      </c>
      <c r="O73" s="156">
        <f t="shared" si="12"/>
        <v>0.62423171122756893</v>
      </c>
      <c r="P73" s="215">
        <v>35</v>
      </c>
      <c r="R73" s="90" t="s">
        <v>94</v>
      </c>
      <c r="S73" s="28">
        <v>25117650.687142853</v>
      </c>
    </row>
    <row r="74" spans="1:19" ht="18.75" hidden="1" customHeight="1" x14ac:dyDescent="0.3">
      <c r="A74" s="128"/>
      <c r="B74" s="129" t="s">
        <v>141</v>
      </c>
      <c r="C74" s="130"/>
      <c r="D74" s="109"/>
      <c r="E74" s="109"/>
      <c r="F74" s="130"/>
      <c r="G74" s="123">
        <v>0</v>
      </c>
      <c r="H74" s="123">
        <v>12342720.096000003</v>
      </c>
      <c r="I74" s="123">
        <f t="shared" si="14"/>
        <v>17305353.202857152</v>
      </c>
      <c r="J74" s="131"/>
      <c r="K74" s="105"/>
      <c r="L74" s="132"/>
      <c r="M74" s="158"/>
      <c r="N74" s="156">
        <v>0</v>
      </c>
      <c r="O74" s="156">
        <f t="shared" si="12"/>
        <v>0.40206964658182814</v>
      </c>
      <c r="P74" s="233">
        <v>35</v>
      </c>
      <c r="R74" s="216" t="s">
        <v>101</v>
      </c>
      <c r="S74" s="28">
        <v>24976872.800714288</v>
      </c>
    </row>
    <row r="75" spans="1:19" ht="18.75" hidden="1" customHeight="1" x14ac:dyDescent="0.3">
      <c r="A75" s="128"/>
      <c r="B75" s="230" t="s">
        <v>151</v>
      </c>
      <c r="C75" s="130"/>
      <c r="D75" s="109"/>
      <c r="E75" s="109"/>
      <c r="F75" s="130"/>
      <c r="G75" s="123">
        <v>0</v>
      </c>
      <c r="H75" s="123">
        <v>20174337.600000001</v>
      </c>
      <c r="I75" s="123">
        <f t="shared" si="14"/>
        <v>37223579.864999942</v>
      </c>
      <c r="J75" s="131"/>
      <c r="K75" s="105"/>
      <c r="L75" s="132"/>
      <c r="M75" s="158"/>
      <c r="N75" s="156">
        <v>0</v>
      </c>
      <c r="O75" s="156">
        <f t="shared" si="12"/>
        <v>0.84509551703942631</v>
      </c>
      <c r="P75" s="215">
        <v>35</v>
      </c>
      <c r="R75" s="90" t="s">
        <v>139</v>
      </c>
      <c r="S75" s="28">
        <v>23352979.587857146</v>
      </c>
    </row>
    <row r="76" spans="1:19" ht="18.75" customHeight="1" x14ac:dyDescent="0.3">
      <c r="A76" s="128"/>
      <c r="B76" s="260" t="s">
        <v>103</v>
      </c>
      <c r="C76" s="130"/>
      <c r="D76" s="109"/>
      <c r="E76" s="109"/>
      <c r="F76" s="130"/>
      <c r="G76" s="123">
        <f>VLOOKUP(B76,[1]AKSoftSalesReport!$C:$D,2,0)</f>
        <v>9077550</v>
      </c>
      <c r="H76" s="123">
        <v>10101156.68</v>
      </c>
      <c r="I76" s="123">
        <f t="shared" si="14"/>
        <v>9764989.7971428577</v>
      </c>
      <c r="J76" s="131"/>
      <c r="K76" s="105"/>
      <c r="L76" s="132"/>
      <c r="M76" s="158"/>
      <c r="N76" s="156">
        <f t="shared" si="13"/>
        <v>0.11276243920441086</v>
      </c>
      <c r="O76" s="156">
        <f t="shared" si="12"/>
        <v>-3.3280038465569275E-2</v>
      </c>
      <c r="P76" s="257">
        <v>15</v>
      </c>
      <c r="R76" s="217" t="s">
        <v>228</v>
      </c>
      <c r="S76" s="28">
        <v>9135077.6828571446</v>
      </c>
    </row>
    <row r="77" spans="1:19" ht="18.75" hidden="1" customHeight="1" x14ac:dyDescent="0.3">
      <c r="A77" s="128"/>
      <c r="B77" s="129" t="s">
        <v>109</v>
      </c>
      <c r="C77" s="130"/>
      <c r="D77" s="109"/>
      <c r="E77" s="109"/>
      <c r="F77" s="130"/>
      <c r="G77" s="123">
        <f>VLOOKUP(B77,[1]AKSoftSalesReport!$C:$D,2,0)</f>
        <v>24957705</v>
      </c>
      <c r="H77" s="123">
        <v>36289521.379999995</v>
      </c>
      <c r="I77" s="123">
        <f t="shared" si="14"/>
        <v>43325088.940714218</v>
      </c>
      <c r="J77" s="131"/>
      <c r="K77" s="105"/>
      <c r="L77" s="132"/>
      <c r="M77" s="158"/>
      <c r="N77" s="156">
        <f t="shared" si="13"/>
        <v>0.45404080142785547</v>
      </c>
      <c r="O77" s="156">
        <f t="shared" si="12"/>
        <v>0.19387325302646974</v>
      </c>
      <c r="P77" s="234">
        <v>22</v>
      </c>
      <c r="R77" s="90" t="s">
        <v>117</v>
      </c>
      <c r="S77" s="28">
        <v>32413078.41785714</v>
      </c>
    </row>
    <row r="78" spans="1:19" ht="18.75" customHeight="1" x14ac:dyDescent="0.3">
      <c r="A78" s="128"/>
      <c r="B78" s="129" t="s">
        <v>110</v>
      </c>
      <c r="C78" s="130"/>
      <c r="D78" s="109"/>
      <c r="E78" s="109"/>
      <c r="F78" s="130"/>
      <c r="G78" s="123">
        <f>VLOOKUP(B78,[1]AKSoftSalesReport!$C:$D,2,0)</f>
        <v>14869068.5</v>
      </c>
      <c r="H78" s="123">
        <v>15718954.02</v>
      </c>
      <c r="I78" s="123">
        <f t="shared" si="14"/>
        <v>14854519.602857146</v>
      </c>
      <c r="J78" s="131"/>
      <c r="K78" s="105"/>
      <c r="L78" s="132"/>
      <c r="M78" s="158"/>
      <c r="N78" s="156">
        <f t="shared" si="13"/>
        <v>5.7157953102442129E-2</v>
      </c>
      <c r="O78" s="156">
        <f t="shared" si="12"/>
        <v>-5.4993125881212621E-2</v>
      </c>
      <c r="P78" s="215">
        <v>15</v>
      </c>
      <c r="R78" s="216" t="s">
        <v>60</v>
      </c>
      <c r="S78" s="28">
        <v>5035430.0000000028</v>
      </c>
    </row>
    <row r="79" spans="1:19" ht="18.75" hidden="1" customHeight="1" x14ac:dyDescent="0.3">
      <c r="A79" s="128"/>
      <c r="B79" s="129" t="s">
        <v>119</v>
      </c>
      <c r="C79" s="130"/>
      <c r="D79" s="109"/>
      <c r="E79" s="109"/>
      <c r="F79" s="130"/>
      <c r="G79" s="123">
        <f>VLOOKUP(B79,[1]AKSoftSalesReport!$C:$D,2,0)</f>
        <v>5613193.75</v>
      </c>
      <c r="H79" s="123">
        <v>7678985.3999999994</v>
      </c>
      <c r="I79" s="123">
        <v>0</v>
      </c>
      <c r="J79" s="131"/>
      <c r="K79" s="105"/>
      <c r="L79" s="132"/>
      <c r="M79" s="158"/>
      <c r="N79" s="156">
        <f t="shared" si="13"/>
        <v>0.36802429098407646</v>
      </c>
      <c r="O79" s="226">
        <v>0</v>
      </c>
      <c r="P79" s="215"/>
      <c r="R79" s="90" t="s">
        <v>120</v>
      </c>
      <c r="S79" s="28">
        <v>3962913.8400000003</v>
      </c>
    </row>
    <row r="80" spans="1:19" ht="18.75" hidden="1" customHeight="1" x14ac:dyDescent="0.3">
      <c r="A80" s="128"/>
      <c r="B80" s="129" t="s">
        <v>120</v>
      </c>
      <c r="C80" s="130"/>
      <c r="D80" s="109"/>
      <c r="E80" s="109"/>
      <c r="F80" s="130"/>
      <c r="G80" s="123">
        <f>VLOOKUP(B80,[1]AKSoftSalesReport!$C:$D,2,0)</f>
        <v>2060718.25</v>
      </c>
      <c r="H80" s="123">
        <v>2235150</v>
      </c>
      <c r="I80" s="123">
        <f t="shared" ref="I80:I95" si="15">VLOOKUP(B80,R:S,2,0)</f>
        <v>3962913.8400000003</v>
      </c>
      <c r="J80" s="131"/>
      <c r="K80" s="105"/>
      <c r="L80" s="132"/>
      <c r="M80" s="158"/>
      <c r="N80" s="156">
        <f t="shared" si="13"/>
        <v>8.4646093661760888E-2</v>
      </c>
      <c r="O80" s="156">
        <f t="shared" si="12"/>
        <v>0.77299681900543604</v>
      </c>
      <c r="P80" s="215">
        <v>35</v>
      </c>
      <c r="R80" s="217" t="s">
        <v>224</v>
      </c>
      <c r="S80" s="28">
        <v>9191062.7914285716</v>
      </c>
    </row>
    <row r="81" spans="1:19" ht="18.75" hidden="1" customHeight="1" x14ac:dyDescent="0.3">
      <c r="A81" s="128"/>
      <c r="B81" s="230" t="s">
        <v>121</v>
      </c>
      <c r="C81" s="130"/>
      <c r="D81" s="109"/>
      <c r="E81" s="109"/>
      <c r="F81" s="130"/>
      <c r="G81" s="123">
        <f>VLOOKUP(B81,[1]AKSoftSalesReport!$C:$D,2,0)</f>
        <v>1597754.25</v>
      </c>
      <c r="H81" s="123">
        <v>3714969.4159999997</v>
      </c>
      <c r="I81" s="123">
        <f t="shared" si="15"/>
        <v>5791340.3342857165</v>
      </c>
      <c r="J81" s="131"/>
      <c r="K81" s="105"/>
      <c r="L81" s="132"/>
      <c r="M81" s="158"/>
      <c r="N81" s="156">
        <f t="shared" si="13"/>
        <v>1.3251194080691695</v>
      </c>
      <c r="O81" s="156">
        <f t="shared" si="12"/>
        <v>0.55892005714582627</v>
      </c>
      <c r="P81" s="215">
        <v>35</v>
      </c>
      <c r="R81" s="106" t="s">
        <v>255</v>
      </c>
      <c r="S81" s="28">
        <v>196238</v>
      </c>
    </row>
    <row r="82" spans="1:19" ht="18.75" hidden="1" customHeight="1" x14ac:dyDescent="0.3">
      <c r="A82" s="128"/>
      <c r="B82" s="129" t="s">
        <v>122</v>
      </c>
      <c r="C82" s="130"/>
      <c r="D82" s="109"/>
      <c r="E82" s="109"/>
      <c r="F82" s="130"/>
      <c r="G82" s="123">
        <f>VLOOKUP(B82,[1]AKSoftSalesReport!$C:$D,2,0)</f>
        <v>3401536.5</v>
      </c>
      <c r="H82" s="123">
        <v>13290477.699999999</v>
      </c>
      <c r="I82" s="123">
        <f t="shared" si="15"/>
        <v>17954298.384285714</v>
      </c>
      <c r="J82" s="131"/>
      <c r="K82" s="105"/>
      <c r="L82" s="132"/>
      <c r="M82" s="158"/>
      <c r="N82" s="156">
        <f t="shared" si="13"/>
        <v>2.9071983205236807</v>
      </c>
      <c r="O82" s="156">
        <f t="shared" si="12"/>
        <v>0.35091445089936202</v>
      </c>
      <c r="P82" s="215">
        <v>30</v>
      </c>
      <c r="R82" s="216" t="s">
        <v>20</v>
      </c>
      <c r="S82" s="28">
        <v>24106691.921428572</v>
      </c>
    </row>
    <row r="83" spans="1:19" ht="18.75" hidden="1" customHeight="1" x14ac:dyDescent="0.3">
      <c r="A83" s="128">
        <v>84</v>
      </c>
      <c r="B83" s="230" t="s">
        <v>102</v>
      </c>
      <c r="C83" s="130">
        <v>0</v>
      </c>
      <c r="D83" s="109"/>
      <c r="E83" s="109">
        <v>0</v>
      </c>
      <c r="F83" s="130">
        <v>5310000</v>
      </c>
      <c r="G83" s="123">
        <f>VLOOKUP(B83,[1]AKSoftSalesReport!$C:$D,2,0)</f>
        <v>6342511.25</v>
      </c>
      <c r="H83" s="123">
        <v>7569193.2000000002</v>
      </c>
      <c r="I83" s="123">
        <f t="shared" si="15"/>
        <v>11307233.069285722</v>
      </c>
      <c r="J83" s="131">
        <f>E83/$E$99</f>
        <v>0</v>
      </c>
      <c r="K83" s="105">
        <f>F83/$F$99</f>
        <v>8.388237985326159E-3</v>
      </c>
      <c r="L83" s="132">
        <v>0</v>
      </c>
      <c r="M83" s="158">
        <f>(G83-F83)/F83</f>
        <v>0.19444656308851224</v>
      </c>
      <c r="N83" s="156">
        <f t="shared" si="13"/>
        <v>0.19340634989019534</v>
      </c>
      <c r="O83" s="156">
        <f t="shared" si="12"/>
        <v>0.49384918187657334</v>
      </c>
      <c r="P83" s="215">
        <v>35</v>
      </c>
      <c r="R83" s="90" t="s">
        <v>89</v>
      </c>
      <c r="S83" s="28">
        <v>40202826.411428526</v>
      </c>
    </row>
    <row r="84" spans="1:19" s="215" customFormat="1" ht="18.75" hidden="1" customHeight="1" x14ac:dyDescent="0.3">
      <c r="A84" s="209"/>
      <c r="B84" s="228" t="s">
        <v>229</v>
      </c>
      <c r="C84" s="211"/>
      <c r="D84" s="206"/>
      <c r="E84" s="206"/>
      <c r="F84" s="211"/>
      <c r="G84" s="211"/>
      <c r="H84" s="211"/>
      <c r="I84" s="123">
        <f t="shared" si="15"/>
        <v>3921494.3671428571</v>
      </c>
      <c r="J84" s="212"/>
      <c r="K84" s="207"/>
      <c r="L84" s="208"/>
      <c r="M84" s="213"/>
      <c r="N84" s="214"/>
      <c r="O84" s="156">
        <v>0</v>
      </c>
      <c r="P84" s="215">
        <v>35</v>
      </c>
      <c r="R84" s="216" t="s">
        <v>122</v>
      </c>
      <c r="S84" s="218">
        <v>17954298.384285714</v>
      </c>
    </row>
    <row r="85" spans="1:19" s="215" customFormat="1" ht="18.75" hidden="1" customHeight="1" x14ac:dyDescent="0.3">
      <c r="A85" s="209"/>
      <c r="B85" s="228" t="s">
        <v>230</v>
      </c>
      <c r="C85" s="211"/>
      <c r="D85" s="206"/>
      <c r="E85" s="206"/>
      <c r="F85" s="211"/>
      <c r="G85" s="211"/>
      <c r="H85" s="211"/>
      <c r="I85" s="123">
        <f t="shared" si="15"/>
        <v>7324455.1528571434</v>
      </c>
      <c r="J85" s="212"/>
      <c r="K85" s="207"/>
      <c r="L85" s="208"/>
      <c r="M85" s="213"/>
      <c r="N85" s="214"/>
      <c r="O85" s="156">
        <v>0</v>
      </c>
      <c r="P85" s="215">
        <v>35</v>
      </c>
      <c r="R85" s="90" t="s">
        <v>102</v>
      </c>
      <c r="S85" s="218">
        <v>11307233.069285722</v>
      </c>
    </row>
    <row r="86" spans="1:19" s="215" customFormat="1" ht="18.75" hidden="1" customHeight="1" x14ac:dyDescent="0.3">
      <c r="A86" s="209"/>
      <c r="B86" s="228" t="s">
        <v>227</v>
      </c>
      <c r="C86" s="211"/>
      <c r="D86" s="206"/>
      <c r="E86" s="206"/>
      <c r="F86" s="211"/>
      <c r="G86" s="211"/>
      <c r="H86" s="211"/>
      <c r="I86" s="123">
        <f t="shared" si="15"/>
        <v>6984620.8100000024</v>
      </c>
      <c r="J86" s="212"/>
      <c r="K86" s="207"/>
      <c r="L86" s="208"/>
      <c r="M86" s="213"/>
      <c r="N86" s="214"/>
      <c r="O86" s="156">
        <v>0</v>
      </c>
      <c r="P86" s="215">
        <v>35</v>
      </c>
      <c r="R86" s="216" t="s">
        <v>19</v>
      </c>
      <c r="S86" s="218">
        <v>20923692.405714281</v>
      </c>
    </row>
    <row r="87" spans="1:19" s="215" customFormat="1" ht="18.75" hidden="1" customHeight="1" x14ac:dyDescent="0.3">
      <c r="A87" s="209"/>
      <c r="B87" s="228" t="s">
        <v>254</v>
      </c>
      <c r="C87" s="211"/>
      <c r="D87" s="206"/>
      <c r="E87" s="206"/>
      <c r="F87" s="211"/>
      <c r="G87" s="211"/>
      <c r="H87" s="211"/>
      <c r="I87" s="123">
        <f t="shared" si="15"/>
        <v>7178990.1792857144</v>
      </c>
      <c r="J87" s="212"/>
      <c r="K87" s="207"/>
      <c r="L87" s="208"/>
      <c r="M87" s="213"/>
      <c r="N87" s="214"/>
      <c r="O87" s="156">
        <v>0</v>
      </c>
      <c r="P87" s="215">
        <v>35</v>
      </c>
      <c r="R87" s="90" t="s">
        <v>90</v>
      </c>
      <c r="S87" s="218">
        <v>33095357.16428566</v>
      </c>
    </row>
    <row r="88" spans="1:19" s="215" customFormat="1" ht="18.75" hidden="1" customHeight="1" x14ac:dyDescent="0.3">
      <c r="A88" s="209"/>
      <c r="B88" s="228" t="s">
        <v>225</v>
      </c>
      <c r="C88" s="211"/>
      <c r="D88" s="206"/>
      <c r="E88" s="206"/>
      <c r="F88" s="211"/>
      <c r="G88" s="211"/>
      <c r="H88" s="211"/>
      <c r="I88" s="123">
        <f t="shared" si="15"/>
        <v>6105021.2128571421</v>
      </c>
      <c r="J88" s="212"/>
      <c r="K88" s="207"/>
      <c r="L88" s="208"/>
      <c r="M88" s="213"/>
      <c r="N88" s="214"/>
      <c r="O88" s="156">
        <v>0</v>
      </c>
      <c r="P88" s="215">
        <v>35</v>
      </c>
      <c r="R88" s="216" t="s">
        <v>144</v>
      </c>
      <c r="S88" s="218">
        <v>23246704.676428575</v>
      </c>
    </row>
    <row r="89" spans="1:19" s="215" customFormat="1" ht="18.75" hidden="1" customHeight="1" x14ac:dyDescent="0.3">
      <c r="A89" s="209"/>
      <c r="B89" s="228" t="s">
        <v>231</v>
      </c>
      <c r="C89" s="211"/>
      <c r="D89" s="206"/>
      <c r="E89" s="206"/>
      <c r="F89" s="211"/>
      <c r="G89" s="211"/>
      <c r="H89" s="211"/>
      <c r="I89" s="123">
        <f t="shared" si="15"/>
        <v>983063.62</v>
      </c>
      <c r="J89" s="212"/>
      <c r="K89" s="207"/>
      <c r="L89" s="208"/>
      <c r="M89" s="213"/>
      <c r="N89" s="214"/>
      <c r="O89" s="156">
        <v>0</v>
      </c>
      <c r="P89" s="215">
        <v>35</v>
      </c>
      <c r="R89" s="90" t="s">
        <v>145</v>
      </c>
      <c r="S89" s="218">
        <v>7104700.9285714291</v>
      </c>
    </row>
    <row r="90" spans="1:19" s="215" customFormat="1" ht="18.75" hidden="1" customHeight="1" x14ac:dyDescent="0.3">
      <c r="A90" s="209"/>
      <c r="B90" s="228" t="s">
        <v>228</v>
      </c>
      <c r="C90" s="211"/>
      <c r="D90" s="206"/>
      <c r="E90" s="206"/>
      <c r="F90" s="211"/>
      <c r="G90" s="211"/>
      <c r="H90" s="211"/>
      <c r="I90" s="123">
        <f t="shared" si="15"/>
        <v>9135077.6828571446</v>
      </c>
      <c r="J90" s="212"/>
      <c r="K90" s="207"/>
      <c r="L90" s="208"/>
      <c r="M90" s="213"/>
      <c r="N90" s="214"/>
      <c r="O90" s="156">
        <v>0</v>
      </c>
      <c r="P90" s="215">
        <v>35</v>
      </c>
      <c r="R90" s="216" t="s">
        <v>110</v>
      </c>
      <c r="S90" s="218">
        <v>14854519.602857146</v>
      </c>
    </row>
    <row r="91" spans="1:19" s="215" customFormat="1" ht="18.75" hidden="1" customHeight="1" x14ac:dyDescent="0.3">
      <c r="A91" s="209"/>
      <c r="B91" s="228" t="s">
        <v>224</v>
      </c>
      <c r="C91" s="211"/>
      <c r="D91" s="206"/>
      <c r="E91" s="206"/>
      <c r="F91" s="211"/>
      <c r="G91" s="211"/>
      <c r="H91" s="211"/>
      <c r="I91" s="123">
        <f t="shared" si="15"/>
        <v>9191062.7914285716</v>
      </c>
      <c r="J91" s="212"/>
      <c r="K91" s="207"/>
      <c r="L91" s="208"/>
      <c r="M91" s="213"/>
      <c r="N91" s="214"/>
      <c r="O91" s="156">
        <v>0</v>
      </c>
      <c r="P91" s="215">
        <v>35</v>
      </c>
      <c r="R91" s="90" t="s">
        <v>152</v>
      </c>
      <c r="S91" s="218">
        <v>12160280.644285714</v>
      </c>
    </row>
    <row r="92" spans="1:19" s="215" customFormat="1" ht="18.75" hidden="1" customHeight="1" x14ac:dyDescent="0.3">
      <c r="A92" s="209"/>
      <c r="B92" s="232" t="s">
        <v>255</v>
      </c>
      <c r="C92" s="211"/>
      <c r="D92" s="206"/>
      <c r="E92" s="206"/>
      <c r="F92" s="211"/>
      <c r="G92" s="211"/>
      <c r="H92" s="211"/>
      <c r="I92" s="123">
        <f t="shared" si="15"/>
        <v>196238</v>
      </c>
      <c r="J92" s="212"/>
      <c r="K92" s="207"/>
      <c r="L92" s="208"/>
      <c r="M92" s="213"/>
      <c r="N92" s="214"/>
      <c r="O92" s="156">
        <v>0</v>
      </c>
      <c r="P92" s="215">
        <v>35</v>
      </c>
    </row>
    <row r="93" spans="1:19" s="215" customFormat="1" ht="18.75" hidden="1" customHeight="1" x14ac:dyDescent="0.3">
      <c r="A93" s="209"/>
      <c r="B93" s="229" t="s">
        <v>226</v>
      </c>
      <c r="C93" s="211"/>
      <c r="D93" s="206"/>
      <c r="E93" s="206"/>
      <c r="F93" s="211"/>
      <c r="G93" s="211"/>
      <c r="H93" s="211"/>
      <c r="I93" s="123">
        <f t="shared" si="15"/>
        <v>26343309.318571419</v>
      </c>
      <c r="J93" s="212"/>
      <c r="K93" s="207"/>
      <c r="L93" s="208"/>
      <c r="M93" s="213"/>
      <c r="N93" s="214"/>
      <c r="O93" s="156">
        <v>0</v>
      </c>
      <c r="P93" s="215">
        <v>35</v>
      </c>
    </row>
    <row r="94" spans="1:19" s="215" customFormat="1" ht="18.75" hidden="1" customHeight="1" x14ac:dyDescent="0.3">
      <c r="A94" s="209" t="s">
        <v>222</v>
      </c>
      <c r="B94" s="229" t="s">
        <v>222</v>
      </c>
      <c r="C94" s="211"/>
      <c r="D94" s="206"/>
      <c r="E94" s="206"/>
      <c r="F94" s="211"/>
      <c r="G94" s="211"/>
      <c r="H94" s="211"/>
      <c r="I94" s="123">
        <f t="shared" si="15"/>
        <v>13147683.977857146</v>
      </c>
      <c r="J94" s="212"/>
      <c r="K94" s="207"/>
      <c r="L94" s="208"/>
      <c r="M94" s="213"/>
      <c r="N94" s="214"/>
      <c r="O94" s="156">
        <v>0</v>
      </c>
      <c r="P94" s="215">
        <v>35</v>
      </c>
    </row>
    <row r="95" spans="1:19" s="215" customFormat="1" ht="18.75" hidden="1" customHeight="1" x14ac:dyDescent="0.3">
      <c r="A95" s="209"/>
      <c r="B95" s="229" t="s">
        <v>223</v>
      </c>
      <c r="C95" s="211"/>
      <c r="D95" s="206"/>
      <c r="E95" s="206"/>
      <c r="F95" s="211"/>
      <c r="G95" s="211"/>
      <c r="H95" s="211"/>
      <c r="I95" s="123">
        <f t="shared" si="15"/>
        <v>13874816.717142859</v>
      </c>
      <c r="J95" s="212"/>
      <c r="K95" s="207"/>
      <c r="L95" s="208"/>
      <c r="M95" s="213"/>
      <c r="N95" s="214"/>
      <c r="O95" s="156">
        <v>0</v>
      </c>
      <c r="P95" s="215">
        <v>35</v>
      </c>
    </row>
    <row r="96" spans="1:19" s="215" customFormat="1" ht="18.75" hidden="1" customHeight="1" x14ac:dyDescent="0.3">
      <c r="A96" s="209"/>
      <c r="B96" s="210"/>
      <c r="C96" s="211"/>
      <c r="D96" s="206"/>
      <c r="E96" s="206"/>
      <c r="F96" s="211"/>
      <c r="G96" s="211"/>
      <c r="H96" s="211"/>
      <c r="I96" s="211"/>
      <c r="J96" s="212"/>
      <c r="K96" s="207"/>
      <c r="L96" s="208"/>
      <c r="M96" s="213"/>
      <c r="N96" s="214"/>
      <c r="O96" s="214"/>
    </row>
    <row r="97" spans="1:15" s="215" customFormat="1" ht="18.75" hidden="1" customHeight="1" x14ac:dyDescent="0.3">
      <c r="A97" s="209"/>
      <c r="B97" s="210"/>
      <c r="C97" s="211"/>
      <c r="D97" s="206"/>
      <c r="E97" s="206"/>
      <c r="F97" s="211"/>
      <c r="G97" s="211"/>
      <c r="H97" s="211"/>
      <c r="I97" s="211"/>
      <c r="J97" s="212"/>
      <c r="K97" s="207"/>
      <c r="L97" s="208"/>
      <c r="M97" s="213"/>
      <c r="N97" s="214"/>
      <c r="O97" s="214"/>
    </row>
    <row r="98" spans="1:15" s="215" customFormat="1" ht="18.75" hidden="1" customHeight="1" thickBot="1" x14ac:dyDescent="0.3">
      <c r="A98" s="209"/>
      <c r="B98" s="210"/>
      <c r="C98" s="211"/>
      <c r="D98" s="206"/>
      <c r="E98" s="206"/>
      <c r="F98" s="211"/>
      <c r="G98" s="211"/>
      <c r="H98" s="211"/>
      <c r="I98" s="211"/>
      <c r="J98" s="212"/>
      <c r="K98" s="207"/>
      <c r="L98" s="208"/>
      <c r="M98" s="213"/>
      <c r="N98" s="214"/>
      <c r="O98" s="214"/>
    </row>
    <row r="99" spans="1:15" ht="18.75" hidden="1" customHeight="1" thickBot="1" x14ac:dyDescent="0.4">
      <c r="A99" s="265" t="s">
        <v>21</v>
      </c>
      <c r="B99" s="266"/>
      <c r="C99" s="133"/>
      <c r="D99" s="110"/>
      <c r="E99" s="110">
        <f>SUM(E2:E83)</f>
        <v>320070397.60000002</v>
      </c>
      <c r="F99" s="110">
        <f>SUM(F2:F83)</f>
        <v>633029249.91982472</v>
      </c>
      <c r="G99" s="110">
        <v>940433659.21726358</v>
      </c>
      <c r="H99" s="110"/>
      <c r="I99" s="110"/>
      <c r="J99" s="134"/>
      <c r="K99" s="157"/>
      <c r="L99" s="159"/>
      <c r="M99" s="4"/>
    </row>
    <row r="100" spans="1:15" ht="18.75" customHeight="1" x14ac:dyDescent="0.3">
      <c r="A100" s="111"/>
      <c r="B100" s="113"/>
      <c r="C100" s="114"/>
      <c r="D100" s="115"/>
      <c r="E100" s="115"/>
      <c r="F100" s="115"/>
      <c r="G100" s="115"/>
      <c r="H100" s="115"/>
      <c r="I100" s="115"/>
      <c r="J100" s="116"/>
      <c r="K100" s="108"/>
      <c r="L100" s="108"/>
    </row>
    <row r="101" spans="1:15" ht="18.75" customHeight="1" x14ac:dyDescent="0.3">
      <c r="A101" s="111"/>
      <c r="B101" s="113"/>
      <c r="C101" s="114"/>
      <c r="D101" s="115"/>
      <c r="E101" s="115"/>
      <c r="F101" s="115"/>
      <c r="G101" s="115"/>
      <c r="H101" s="115"/>
      <c r="I101" s="115"/>
      <c r="J101" s="116"/>
      <c r="K101" s="108"/>
      <c r="L101" s="108"/>
    </row>
    <row r="102" spans="1:15" ht="18.75" customHeight="1" x14ac:dyDescent="0.3">
      <c r="A102" s="111"/>
      <c r="B102" s="113"/>
      <c r="C102" s="114"/>
      <c r="D102" s="115"/>
      <c r="E102" s="115"/>
      <c r="F102" s="115"/>
      <c r="G102" s="115"/>
      <c r="H102" s="115"/>
      <c r="I102" s="115"/>
      <c r="J102" s="116"/>
      <c r="K102" s="108"/>
      <c r="L102" s="108"/>
    </row>
    <row r="103" spans="1:15" ht="18.75" customHeight="1" x14ac:dyDescent="0.3">
      <c r="A103" s="111"/>
      <c r="B103" s="113"/>
      <c r="C103" s="114"/>
      <c r="D103" s="115"/>
      <c r="E103" s="115"/>
      <c r="F103" s="115"/>
      <c r="G103" s="115"/>
      <c r="H103" s="115"/>
      <c r="I103" s="115"/>
      <c r="J103" s="116"/>
      <c r="K103" s="108"/>
      <c r="L103" s="108"/>
    </row>
    <row r="104" spans="1:15" ht="18.75" customHeight="1" x14ac:dyDescent="0.3">
      <c r="A104" s="111"/>
      <c r="B104" s="113"/>
      <c r="C104" s="114"/>
      <c r="D104" s="115"/>
      <c r="E104" s="115"/>
      <c r="F104" s="115"/>
      <c r="G104" s="115"/>
      <c r="H104" s="115"/>
      <c r="I104" s="115"/>
      <c r="J104" s="116"/>
      <c r="K104" s="108"/>
      <c r="L104" s="108"/>
    </row>
    <row r="105" spans="1:15" ht="18.75" customHeight="1" x14ac:dyDescent="0.3">
      <c r="A105" s="111"/>
      <c r="B105" s="113"/>
      <c r="C105" s="114"/>
      <c r="D105" s="115"/>
      <c r="E105" s="115"/>
      <c r="F105" s="115"/>
      <c r="G105" s="115"/>
      <c r="H105" s="115"/>
      <c r="I105" s="115"/>
      <c r="J105" s="116"/>
      <c r="K105" s="108"/>
      <c r="L105" s="108"/>
    </row>
    <row r="106" spans="1:15" ht="18.75" customHeight="1" x14ac:dyDescent="0.3">
      <c r="A106" s="111"/>
      <c r="B106" s="113"/>
      <c r="C106" s="114"/>
      <c r="D106" s="115"/>
      <c r="E106" s="115"/>
      <c r="F106" s="115"/>
      <c r="G106" s="115"/>
      <c r="H106" s="115"/>
      <c r="I106" s="115"/>
      <c r="J106" s="116"/>
      <c r="K106" s="108"/>
      <c r="L106" s="108"/>
    </row>
    <row r="107" spans="1:15" ht="18.75" customHeight="1" x14ac:dyDescent="0.3">
      <c r="A107" s="111"/>
      <c r="B107" s="113"/>
      <c r="C107" s="114"/>
      <c r="D107" s="115"/>
      <c r="E107" s="115"/>
      <c r="F107" s="115"/>
      <c r="G107" s="115"/>
      <c r="H107" s="115"/>
      <c r="I107" s="115"/>
      <c r="J107" s="116"/>
      <c r="K107" s="108"/>
      <c r="L107" s="108"/>
    </row>
    <row r="108" spans="1:15" ht="18.75" customHeight="1" x14ac:dyDescent="0.3">
      <c r="A108" s="111"/>
      <c r="B108" s="113"/>
      <c r="C108" s="114"/>
      <c r="D108" s="115"/>
      <c r="E108" s="115"/>
      <c r="F108" s="115"/>
      <c r="G108" s="115"/>
      <c r="H108" s="115"/>
      <c r="I108" s="115"/>
      <c r="J108" s="116"/>
      <c r="K108" s="108"/>
      <c r="L108" s="108"/>
    </row>
    <row r="109" spans="1:15" ht="18.75" customHeight="1" x14ac:dyDescent="0.3">
      <c r="A109" s="111"/>
      <c r="B109" s="113"/>
      <c r="C109" s="114"/>
      <c r="D109" s="115"/>
      <c r="E109" s="115"/>
      <c r="F109" s="115"/>
      <c r="G109" s="115"/>
      <c r="H109" s="115"/>
      <c r="I109" s="115"/>
      <c r="J109" s="116"/>
      <c r="K109" s="108"/>
      <c r="L109" s="108"/>
    </row>
    <row r="110" spans="1:15" ht="18.75" customHeight="1" x14ac:dyDescent="0.3">
      <c r="A110" s="111"/>
      <c r="B110" s="113"/>
      <c r="C110" s="114"/>
      <c r="D110" s="115"/>
      <c r="E110" s="115"/>
      <c r="F110" s="115"/>
      <c r="G110" s="115"/>
      <c r="H110" s="115"/>
      <c r="I110" s="115"/>
      <c r="J110" s="116"/>
      <c r="K110" s="108"/>
      <c r="L110" s="108"/>
    </row>
    <row r="111" spans="1:15" ht="18.75" customHeight="1" x14ac:dyDescent="0.3">
      <c r="A111" s="111"/>
      <c r="B111" s="113"/>
      <c r="C111" s="114"/>
      <c r="D111" s="115"/>
      <c r="E111" s="115"/>
      <c r="F111" s="115"/>
      <c r="G111" s="115"/>
      <c r="H111" s="115"/>
      <c r="I111" s="115"/>
      <c r="J111" s="116"/>
      <c r="K111" s="108"/>
      <c r="L111" s="108"/>
    </row>
    <row r="112" spans="1:15" ht="18.75" customHeight="1" x14ac:dyDescent="0.3">
      <c r="A112" s="111"/>
      <c r="B112" s="113"/>
      <c r="C112" s="114"/>
      <c r="D112" s="115"/>
      <c r="E112" s="115"/>
      <c r="F112" s="115"/>
      <c r="G112" s="115"/>
      <c r="H112" s="115"/>
      <c r="I112" s="115"/>
      <c r="J112" s="116"/>
      <c r="K112" s="108"/>
      <c r="L112" s="108"/>
    </row>
    <row r="113" spans="1:12" ht="18.75" customHeight="1" x14ac:dyDescent="0.3">
      <c r="A113" s="111"/>
      <c r="B113" s="113"/>
      <c r="C113" s="114"/>
      <c r="D113" s="115"/>
      <c r="E113" s="115"/>
      <c r="F113" s="115"/>
      <c r="G113" s="115"/>
      <c r="H113" s="115"/>
      <c r="I113" s="115"/>
      <c r="J113" s="116"/>
      <c r="K113" s="108"/>
      <c r="L113" s="108"/>
    </row>
    <row r="114" spans="1:12" ht="18.75" customHeight="1" x14ac:dyDescent="0.3">
      <c r="A114" s="111"/>
      <c r="B114" s="113"/>
      <c r="C114" s="114"/>
      <c r="D114" s="115"/>
      <c r="E114" s="115"/>
      <c r="F114" s="115"/>
      <c r="G114" s="115"/>
      <c r="H114" s="115"/>
      <c r="I114" s="115"/>
      <c r="J114" s="116"/>
      <c r="K114" s="108"/>
      <c r="L114" s="108"/>
    </row>
    <row r="115" spans="1:12" ht="18.75" customHeight="1" x14ac:dyDescent="0.3">
      <c r="A115" s="111"/>
      <c r="B115" s="113"/>
      <c r="C115" s="114"/>
      <c r="D115" s="115"/>
      <c r="E115" s="115"/>
      <c r="F115" s="115"/>
      <c r="G115" s="115"/>
      <c r="H115" s="115"/>
      <c r="I115" s="115"/>
      <c r="J115" s="116"/>
      <c r="K115" s="108"/>
      <c r="L115" s="108"/>
    </row>
    <row r="116" spans="1:12" ht="18.75" customHeight="1" x14ac:dyDescent="0.3">
      <c r="A116" s="111"/>
      <c r="B116" s="113"/>
      <c r="C116" s="114"/>
      <c r="D116" s="115"/>
      <c r="E116" s="115"/>
      <c r="F116" s="115"/>
      <c r="G116" s="115"/>
      <c r="H116" s="115"/>
      <c r="I116" s="115"/>
      <c r="J116" s="116"/>
      <c r="K116" s="108"/>
      <c r="L116" s="108"/>
    </row>
    <row r="117" spans="1:12" ht="18.75" customHeight="1" x14ac:dyDescent="0.3">
      <c r="A117" s="111"/>
      <c r="B117" s="113"/>
      <c r="C117" s="114"/>
      <c r="D117" s="115"/>
      <c r="E117" s="115"/>
      <c r="F117" s="115"/>
      <c r="G117" s="115"/>
      <c r="H117" s="115"/>
      <c r="I117" s="115"/>
      <c r="J117" s="116"/>
      <c r="K117" s="108"/>
      <c r="L117" s="108"/>
    </row>
    <row r="118" spans="1:12" ht="18.75" customHeight="1" x14ac:dyDescent="0.3">
      <c r="A118" s="111"/>
      <c r="B118" s="113"/>
      <c r="C118" s="114"/>
      <c r="D118" s="115"/>
      <c r="E118" s="115"/>
      <c r="F118" s="115"/>
      <c r="G118" s="115"/>
      <c r="H118" s="115"/>
      <c r="I118" s="115"/>
      <c r="J118" s="116"/>
      <c r="K118" s="108"/>
      <c r="L118" s="108"/>
    </row>
    <row r="119" spans="1:12" ht="18.75" customHeight="1" x14ac:dyDescent="0.3">
      <c r="A119" s="111"/>
      <c r="B119" s="113"/>
      <c r="C119" s="114"/>
      <c r="D119" s="115"/>
      <c r="E119" s="115"/>
      <c r="F119" s="115"/>
      <c r="G119" s="115"/>
      <c r="H119" s="115"/>
      <c r="I119" s="115"/>
      <c r="J119" s="116"/>
      <c r="K119" s="108"/>
      <c r="L119" s="108"/>
    </row>
    <row r="120" spans="1:12" ht="18.75" customHeight="1" x14ac:dyDescent="0.3">
      <c r="A120" s="111"/>
      <c r="B120" s="113"/>
      <c r="C120" s="114"/>
      <c r="D120" s="115"/>
      <c r="E120" s="115"/>
      <c r="F120" s="115"/>
      <c r="G120" s="115"/>
      <c r="H120" s="115"/>
      <c r="I120" s="115"/>
      <c r="J120" s="116"/>
      <c r="K120" s="108"/>
      <c r="L120" s="108"/>
    </row>
    <row r="121" spans="1:12" ht="18.75" customHeight="1" x14ac:dyDescent="0.3">
      <c r="A121" s="111"/>
      <c r="B121" s="113"/>
      <c r="C121" s="114"/>
      <c r="D121" s="115"/>
      <c r="E121" s="115"/>
      <c r="F121" s="115"/>
      <c r="G121" s="115"/>
      <c r="H121" s="115"/>
      <c r="I121" s="115"/>
      <c r="J121" s="116"/>
      <c r="K121" s="108"/>
      <c r="L121" s="108"/>
    </row>
    <row r="122" spans="1:12" ht="18.75" customHeight="1" x14ac:dyDescent="0.3">
      <c r="A122" s="111"/>
      <c r="B122" s="113"/>
      <c r="C122" s="114"/>
      <c r="D122" s="115"/>
      <c r="E122" s="115"/>
      <c r="F122" s="115"/>
      <c r="G122" s="115"/>
      <c r="H122" s="115"/>
      <c r="I122" s="115"/>
      <c r="J122" s="116"/>
      <c r="K122" s="108"/>
      <c r="L122" s="108"/>
    </row>
    <row r="123" spans="1:12" ht="18.75" customHeight="1" x14ac:dyDescent="0.3">
      <c r="A123" s="111"/>
      <c r="B123" s="113"/>
      <c r="C123" s="114"/>
      <c r="D123" s="115"/>
      <c r="E123" s="115"/>
      <c r="F123" s="115"/>
      <c r="G123" s="115"/>
      <c r="H123" s="115"/>
      <c r="I123" s="115"/>
      <c r="J123" s="116"/>
      <c r="K123" s="108"/>
      <c r="L123" s="108"/>
    </row>
    <row r="124" spans="1:12" ht="18.75" customHeight="1" x14ac:dyDescent="0.3">
      <c r="A124" s="111"/>
      <c r="B124" s="113"/>
      <c r="C124" s="114"/>
      <c r="D124" s="115"/>
      <c r="E124" s="115"/>
      <c r="F124" s="115"/>
      <c r="G124" s="115"/>
      <c r="H124" s="115"/>
      <c r="I124" s="115"/>
      <c r="J124" s="116"/>
      <c r="K124" s="108"/>
      <c r="L124" s="108"/>
    </row>
    <row r="125" spans="1:12" ht="18.75" customHeight="1" x14ac:dyDescent="0.3">
      <c r="A125" s="111"/>
      <c r="B125" s="117"/>
      <c r="C125" s="114"/>
      <c r="D125" s="115"/>
      <c r="E125" s="115"/>
      <c r="F125" s="115"/>
      <c r="G125" s="115"/>
      <c r="H125" s="115"/>
      <c r="I125" s="115"/>
      <c r="J125" s="116"/>
      <c r="K125" s="108"/>
      <c r="L125" s="108"/>
    </row>
    <row r="126" spans="1:12" ht="18.75" customHeight="1" x14ac:dyDescent="0.3">
      <c r="A126" s="111"/>
      <c r="B126" s="117"/>
      <c r="C126" s="114"/>
      <c r="D126" s="115"/>
      <c r="E126" s="115"/>
      <c r="F126" s="115"/>
      <c r="G126" s="115"/>
      <c r="H126" s="115"/>
      <c r="I126" s="115"/>
      <c r="J126" s="116"/>
      <c r="K126" s="108"/>
      <c r="L126" s="108"/>
    </row>
    <row r="127" spans="1:12" ht="18.75" customHeight="1" x14ac:dyDescent="0.3">
      <c r="A127" s="111"/>
      <c r="B127" s="118"/>
      <c r="C127" s="114"/>
      <c r="D127" s="115"/>
      <c r="E127" s="115"/>
      <c r="F127" s="115"/>
      <c r="G127" s="115"/>
      <c r="H127" s="115"/>
      <c r="I127" s="115"/>
      <c r="J127" s="116"/>
      <c r="K127" s="108"/>
      <c r="L127" s="108"/>
    </row>
    <row r="128" spans="1:12" ht="18.75" customHeight="1" x14ac:dyDescent="0.35">
      <c r="A128" s="264"/>
      <c r="B128" s="264"/>
      <c r="C128" s="119"/>
      <c r="D128" s="115"/>
      <c r="E128" s="115"/>
      <c r="F128" s="115"/>
      <c r="G128" s="115"/>
      <c r="H128" s="115"/>
      <c r="I128" s="115"/>
      <c r="J128" s="120"/>
      <c r="K128" s="108"/>
      <c r="L128" s="108"/>
    </row>
    <row r="129" spans="1:12" ht="18.75" customHeight="1" x14ac:dyDescent="0.3">
      <c r="A129" s="111"/>
      <c r="B129" s="111"/>
      <c r="C129" s="111"/>
      <c r="D129" s="121"/>
      <c r="E129" s="115"/>
      <c r="F129" s="115"/>
      <c r="G129" s="115"/>
      <c r="H129" s="115"/>
      <c r="I129" s="115"/>
      <c r="J129" s="111"/>
      <c r="K129" s="112"/>
      <c r="L129" s="108"/>
    </row>
  </sheetData>
  <autoFilter ref="A1:Q99" xr:uid="{00000000-0009-0000-0000-000000000000}">
    <filterColumn colId="15">
      <filters>
        <filter val="15"/>
      </filters>
    </filterColumn>
  </autoFilter>
  <mergeCells count="2">
    <mergeCell ref="A128:B128"/>
    <mergeCell ref="A99:B9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topLeftCell="D7" workbookViewId="0">
      <selection activeCell="G51" sqref="G51"/>
    </sheetView>
  </sheetViews>
  <sheetFormatPr defaultRowHeight="14.4" x14ac:dyDescent="0.3"/>
  <cols>
    <col min="1" max="1" width="4.88671875" customWidth="1"/>
    <col min="2" max="2" width="13.88671875" customWidth="1"/>
    <col min="3" max="4" width="18" bestFit="1" customWidth="1"/>
    <col min="5" max="6" width="18.44140625" bestFit="1" customWidth="1"/>
    <col min="7" max="7" width="20.5546875" bestFit="1" customWidth="1"/>
    <col min="8" max="8" width="15.6640625" customWidth="1"/>
    <col min="9" max="9" width="16.6640625" customWidth="1"/>
    <col min="10" max="10" width="20.88671875" customWidth="1"/>
    <col min="11" max="11" width="19" customWidth="1"/>
    <col min="12" max="12" width="17.88671875" customWidth="1"/>
    <col min="13" max="13" width="17.44140625" customWidth="1"/>
    <col min="15" max="15" width="10" bestFit="1" customWidth="1"/>
  </cols>
  <sheetData>
    <row r="1" spans="1:12" ht="19.5" customHeight="1" thickBot="1" x14ac:dyDescent="0.4">
      <c r="A1" s="182" t="s">
        <v>0</v>
      </c>
      <c r="B1" s="183" t="s">
        <v>22</v>
      </c>
      <c r="C1" s="183" t="s">
        <v>41</v>
      </c>
      <c r="D1" s="183" t="s">
        <v>3</v>
      </c>
      <c r="E1" s="183" t="s">
        <v>42</v>
      </c>
      <c r="F1" s="183" t="s">
        <v>3</v>
      </c>
      <c r="G1" s="183" t="s">
        <v>21</v>
      </c>
      <c r="H1" s="183" t="s">
        <v>3</v>
      </c>
      <c r="I1" s="40" t="s">
        <v>23</v>
      </c>
      <c r="K1" s="184"/>
    </row>
    <row r="2" spans="1:12" ht="15.6" x14ac:dyDescent="0.3">
      <c r="A2" s="38">
        <v>1</v>
      </c>
      <c r="B2" s="45" t="s">
        <v>24</v>
      </c>
      <c r="C2" s="70">
        <v>96426573.819999993</v>
      </c>
      <c r="D2" s="161">
        <f>C2/$C$14</f>
        <v>5.9135895711454001E-2</v>
      </c>
      <c r="E2" s="70">
        <v>123935306.22002108</v>
      </c>
      <c r="F2" s="162">
        <f>E2/$E$14</f>
        <v>7.0181431858871851E-2</v>
      </c>
      <c r="G2" s="36">
        <f>E2+C2</f>
        <v>220361880.04002106</v>
      </c>
      <c r="H2" s="39">
        <f>G2/$G$14</f>
        <v>6.4878718497895671E-2</v>
      </c>
      <c r="I2" s="49">
        <v>11</v>
      </c>
      <c r="K2" s="79"/>
    </row>
    <row r="3" spans="1:12" ht="15.6" x14ac:dyDescent="0.3">
      <c r="A3" s="12">
        <v>2</v>
      </c>
      <c r="B3" s="13" t="s">
        <v>25</v>
      </c>
      <c r="C3" s="51">
        <v>91966415.899999976</v>
      </c>
      <c r="D3" s="161">
        <f t="shared" ref="D3:D13" si="0">C3/$C$14</f>
        <v>5.6400597513406536E-2</v>
      </c>
      <c r="E3" s="163">
        <v>118578237.47000037</v>
      </c>
      <c r="F3" s="162">
        <f t="shared" ref="F3:F13" si="1">E3/$E$14</f>
        <v>6.7147859207867783E-2</v>
      </c>
      <c r="G3" s="36">
        <f t="shared" ref="G3:G13" si="2">E3+C3</f>
        <v>210544653.37000036</v>
      </c>
      <c r="H3" s="39">
        <f t="shared" ref="H3:H13" si="3">G3/$G$14</f>
        <v>6.1988340700072239E-2</v>
      </c>
      <c r="I3" s="14">
        <v>10</v>
      </c>
      <c r="K3" s="79"/>
    </row>
    <row r="4" spans="1:12" ht="15.6" x14ac:dyDescent="0.3">
      <c r="A4" s="12">
        <v>3</v>
      </c>
      <c r="B4" s="13" t="s">
        <v>26</v>
      </c>
      <c r="C4" s="164">
        <v>71044692.230000004</v>
      </c>
      <c r="D4" s="161">
        <f t="shared" si="0"/>
        <v>4.3569851588921953E-2</v>
      </c>
      <c r="E4" s="164">
        <v>85523335.089999989</v>
      </c>
      <c r="F4" s="162">
        <f t="shared" si="1"/>
        <v>4.8429703343022712E-2</v>
      </c>
      <c r="G4" s="36">
        <f t="shared" si="2"/>
        <v>156568027.31999999</v>
      </c>
      <c r="H4" s="39">
        <f t="shared" si="3"/>
        <v>4.6096597870830848E-2</v>
      </c>
      <c r="I4" s="14">
        <v>12</v>
      </c>
    </row>
    <row r="5" spans="1:12" ht="15.6" x14ac:dyDescent="0.3">
      <c r="A5" s="12">
        <v>4</v>
      </c>
      <c r="B5" s="13" t="s">
        <v>27</v>
      </c>
      <c r="C5" s="164">
        <v>115303717.61999997</v>
      </c>
      <c r="D5" s="161">
        <f t="shared" si="0"/>
        <v>7.0712754277130654E-2</v>
      </c>
      <c r="E5" s="163">
        <v>130014791.09000191</v>
      </c>
      <c r="F5" s="162">
        <f t="shared" si="1"/>
        <v>7.362409050193959E-2</v>
      </c>
      <c r="G5" s="36">
        <f t="shared" si="2"/>
        <v>245318508.71000189</v>
      </c>
      <c r="H5" s="39">
        <f t="shared" si="3"/>
        <v>7.2226423490438549E-2</v>
      </c>
      <c r="I5" s="14">
        <v>9</v>
      </c>
    </row>
    <row r="6" spans="1:12" ht="15.6" x14ac:dyDescent="0.3">
      <c r="A6" s="12">
        <v>5</v>
      </c>
      <c r="B6" s="13" t="s">
        <v>28</v>
      </c>
      <c r="C6" s="165">
        <v>125324535.72</v>
      </c>
      <c r="D6" s="161">
        <f t="shared" si="0"/>
        <v>7.6858259925928707E-2</v>
      </c>
      <c r="E6" s="51">
        <v>146772707.12000585</v>
      </c>
      <c r="F6" s="162">
        <f t="shared" si="1"/>
        <v>8.3113674849022323E-2</v>
      </c>
      <c r="G6" s="36">
        <f t="shared" si="2"/>
        <v>272097242.84000587</v>
      </c>
      <c r="H6" s="39">
        <f t="shared" si="3"/>
        <v>8.0110590901948137E-2</v>
      </c>
      <c r="I6" s="14">
        <v>8</v>
      </c>
      <c r="K6" s="79"/>
    </row>
    <row r="7" spans="1:12" ht="15.6" x14ac:dyDescent="0.3">
      <c r="A7" s="12">
        <v>6</v>
      </c>
      <c r="B7" s="13" t="s">
        <v>29</v>
      </c>
      <c r="C7" s="165">
        <v>160625197.20999998</v>
      </c>
      <c r="D7" s="161">
        <f t="shared" si="0"/>
        <v>9.8507232337981782E-2</v>
      </c>
      <c r="E7" s="51">
        <v>156268190.02000803</v>
      </c>
      <c r="F7" s="162">
        <f t="shared" si="1"/>
        <v>8.8490726848478571E-2</v>
      </c>
      <c r="G7" s="36">
        <f t="shared" si="2"/>
        <v>316893387.23000801</v>
      </c>
      <c r="H7" s="39">
        <f t="shared" si="3"/>
        <v>9.3299425745534542E-2</v>
      </c>
      <c r="I7" s="14">
        <v>4</v>
      </c>
    </row>
    <row r="8" spans="1:12" ht="16.2" thickBot="1" x14ac:dyDescent="0.35">
      <c r="A8" s="12">
        <v>7</v>
      </c>
      <c r="B8" s="13" t="s">
        <v>30</v>
      </c>
      <c r="C8" s="165">
        <v>204468291.97999999</v>
      </c>
      <c r="D8" s="161">
        <f t="shared" si="0"/>
        <v>0.12539505565550341</v>
      </c>
      <c r="E8" s="51">
        <v>174914710.9499999</v>
      </c>
      <c r="F8" s="162">
        <f t="shared" si="1"/>
        <v>9.9049780422203859E-2</v>
      </c>
      <c r="G8" s="36">
        <f t="shared" si="2"/>
        <v>379383002.92999989</v>
      </c>
      <c r="H8" s="39">
        <f t="shared" si="3"/>
        <v>0.11169755424809198</v>
      </c>
      <c r="I8" s="14">
        <v>2</v>
      </c>
    </row>
    <row r="9" spans="1:12" ht="16.2" thickBot="1" x14ac:dyDescent="0.35">
      <c r="A9" s="12">
        <v>8</v>
      </c>
      <c r="B9" s="13" t="s">
        <v>31</v>
      </c>
      <c r="C9" s="164">
        <v>220006978.97999996</v>
      </c>
      <c r="D9" s="161">
        <f t="shared" si="0"/>
        <v>0.13492452598222296</v>
      </c>
      <c r="E9" s="51">
        <v>182488139.73999953</v>
      </c>
      <c r="F9" s="162">
        <f t="shared" si="1"/>
        <v>0.10333842175270404</v>
      </c>
      <c r="G9" s="36">
        <f t="shared" si="2"/>
        <v>402495118.71999949</v>
      </c>
      <c r="H9" s="39">
        <f t="shared" si="3"/>
        <v>0.11850219965208755</v>
      </c>
      <c r="I9" s="14">
        <v>1</v>
      </c>
      <c r="J9" s="78">
        <v>0.48</v>
      </c>
      <c r="K9" s="153">
        <v>2160000000</v>
      </c>
      <c r="L9" s="201">
        <f>(K9-C14)/C14</f>
        <v>0.32467150575298387</v>
      </c>
    </row>
    <row r="10" spans="1:12" ht="16.2" thickBot="1" x14ac:dyDescent="0.35">
      <c r="A10" s="12">
        <v>9</v>
      </c>
      <c r="B10" s="13" t="s">
        <v>32</v>
      </c>
      <c r="C10" s="165">
        <v>156729386.36000001</v>
      </c>
      <c r="D10" s="161">
        <f t="shared" si="0"/>
        <v>9.6118033437612216E-2</v>
      </c>
      <c r="E10" s="51">
        <v>166469096.28000024</v>
      </c>
      <c r="F10" s="162">
        <f t="shared" si="1"/>
        <v>9.4267242269463022E-2</v>
      </c>
      <c r="G10" s="36">
        <f t="shared" si="2"/>
        <v>323198482.64000022</v>
      </c>
      <c r="H10" s="39">
        <f t="shared" si="3"/>
        <v>9.5155765463334041E-2</v>
      </c>
      <c r="I10" s="14">
        <v>3</v>
      </c>
      <c r="J10" s="78">
        <v>0.52</v>
      </c>
      <c r="K10" s="153">
        <v>2340000000</v>
      </c>
      <c r="L10" s="201">
        <f>(K10-E14)/E14</f>
        <v>0.32508286426640987</v>
      </c>
    </row>
    <row r="11" spans="1:12" ht="16.2" thickBot="1" x14ac:dyDescent="0.35">
      <c r="A11" s="12">
        <v>10</v>
      </c>
      <c r="B11" s="13" t="s">
        <v>33</v>
      </c>
      <c r="C11" s="164">
        <v>139717583.19</v>
      </c>
      <c r="D11" s="161">
        <f t="shared" si="0"/>
        <v>8.5685139492807913E-2</v>
      </c>
      <c r="E11" s="51">
        <v>165301490.08000124</v>
      </c>
      <c r="F11" s="162">
        <f t="shared" si="1"/>
        <v>9.360605638577503E-2</v>
      </c>
      <c r="G11" s="36">
        <f t="shared" si="2"/>
        <v>305019073.27000123</v>
      </c>
      <c r="H11" s="39">
        <f t="shared" si="3"/>
        <v>8.9803402419599054E-2</v>
      </c>
      <c r="I11" s="14">
        <v>5</v>
      </c>
      <c r="J11" s="78">
        <v>1</v>
      </c>
      <c r="K11" s="173">
        <f>K9+K10</f>
        <v>4500000000</v>
      </c>
    </row>
    <row r="12" spans="1:12" ht="16.2" thickBot="1" x14ac:dyDescent="0.35">
      <c r="A12" s="12">
        <v>11</v>
      </c>
      <c r="B12" s="35" t="s">
        <v>34</v>
      </c>
      <c r="C12" s="165">
        <v>123979563.14</v>
      </c>
      <c r="D12" s="161">
        <f t="shared" si="0"/>
        <v>7.6033423420028209E-2</v>
      </c>
      <c r="E12" s="51">
        <v>155661292.34000006</v>
      </c>
      <c r="F12" s="162">
        <f t="shared" si="1"/>
        <v>8.8147056029614632E-2</v>
      </c>
      <c r="G12" s="36">
        <f t="shared" si="2"/>
        <v>279640855.48000008</v>
      </c>
      <c r="H12" s="39">
        <f t="shared" si="3"/>
        <v>8.233157359114314E-2</v>
      </c>
      <c r="I12" s="14">
        <v>7</v>
      </c>
    </row>
    <row r="13" spans="1:12" ht="16.2" thickBot="1" x14ac:dyDescent="0.35">
      <c r="A13" s="15">
        <v>12</v>
      </c>
      <c r="B13" s="16" t="s">
        <v>35</v>
      </c>
      <c r="C13" s="28">
        <v>125000000</v>
      </c>
      <c r="D13" s="161">
        <f t="shared" si="0"/>
        <v>7.6659230657001379E-2</v>
      </c>
      <c r="E13" s="51">
        <v>160000000</v>
      </c>
      <c r="F13" s="162">
        <f t="shared" si="1"/>
        <v>9.0603956531036575E-2</v>
      </c>
      <c r="G13" s="166">
        <f t="shared" si="2"/>
        <v>285000000</v>
      </c>
      <c r="H13" s="39">
        <f t="shared" si="3"/>
        <v>8.390940741902421E-2</v>
      </c>
      <c r="I13" s="37">
        <v>6</v>
      </c>
      <c r="J13" s="175" t="s">
        <v>256</v>
      </c>
      <c r="K13" s="174">
        <v>4500000000</v>
      </c>
      <c r="L13" s="174">
        <v>4750000000</v>
      </c>
    </row>
    <row r="14" spans="1:12" ht="18.600000000000001" thickBot="1" x14ac:dyDescent="0.4">
      <c r="A14" s="276" t="s">
        <v>21</v>
      </c>
      <c r="B14" s="277"/>
      <c r="C14" s="27">
        <f>SUM(C2:C13)</f>
        <v>1630592936.1500003</v>
      </c>
      <c r="D14" s="43">
        <f t="shared" ref="D14:H14" si="4">SUM(D2:D13)</f>
        <v>0.99999999999999956</v>
      </c>
      <c r="E14" s="27">
        <f>SUM(E2:E13)</f>
        <v>1765927296.4000382</v>
      </c>
      <c r="F14" s="34">
        <f t="shared" si="4"/>
        <v>0.99999999999999989</v>
      </c>
      <c r="G14" s="33">
        <f>E14+C14</f>
        <v>3396520232.5500383</v>
      </c>
      <c r="H14" s="167">
        <f t="shared" si="4"/>
        <v>1</v>
      </c>
      <c r="I14" s="4"/>
      <c r="J14" s="140" t="s">
        <v>105</v>
      </c>
      <c r="K14" s="141">
        <f>K13-G14</f>
        <v>1103479767.4499617</v>
      </c>
      <c r="L14" s="141">
        <f>L13-G14</f>
        <v>1353479767.4499617</v>
      </c>
    </row>
    <row r="15" spans="1:12" ht="15" thickBot="1" x14ac:dyDescent="0.35">
      <c r="B15" s="98"/>
      <c r="C15" s="99"/>
      <c r="D15" s="32"/>
      <c r="E15" s="99"/>
      <c r="F15" s="98"/>
      <c r="G15" s="98"/>
      <c r="J15" s="140" t="s">
        <v>106</v>
      </c>
      <c r="K15" s="171">
        <f>K14/G14</f>
        <v>0.32488538030038216</v>
      </c>
      <c r="L15" s="171">
        <f>L14/G14</f>
        <v>0.39849012365040337</v>
      </c>
    </row>
    <row r="16" spans="1:12" ht="15.6" x14ac:dyDescent="0.3">
      <c r="B16" s="100"/>
      <c r="C16" s="98"/>
      <c r="D16" s="205">
        <f>'[2]Share of Month'!E16</f>
        <v>0.4800774982947133</v>
      </c>
      <c r="E16" s="205">
        <v>0.48</v>
      </c>
      <c r="F16" s="98">
        <f>E16*4500000000</f>
        <v>2160000000</v>
      </c>
      <c r="G16" s="98"/>
      <c r="J16" s="185"/>
      <c r="K16" s="185"/>
    </row>
    <row r="17" spans="1:13" x14ac:dyDescent="0.3">
      <c r="B17" s="32"/>
      <c r="C17" s="99"/>
      <c r="D17" s="205">
        <f>'[2]Share of Month'!E17</f>
        <v>0.51992250170528675</v>
      </c>
      <c r="E17" s="205">
        <v>0.52</v>
      </c>
      <c r="F17" s="98">
        <f>E17*4500000000</f>
        <v>2340000000</v>
      </c>
      <c r="G17" s="99"/>
    </row>
    <row r="18" spans="1:13" ht="29.25" hidden="1" customHeight="1" thickBot="1" x14ac:dyDescent="0.35">
      <c r="C18" s="278" t="s">
        <v>184</v>
      </c>
      <c r="D18" s="279"/>
      <c r="E18" s="280"/>
      <c r="I18" s="278" t="s">
        <v>185</v>
      </c>
      <c r="J18" s="279"/>
      <c r="K18" s="279"/>
      <c r="L18" s="280"/>
    </row>
    <row r="19" spans="1:13" ht="19.5" hidden="1" customHeight="1" thickBot="1" x14ac:dyDescent="0.4">
      <c r="A19" s="9" t="s">
        <v>0</v>
      </c>
      <c r="B19" s="10" t="s">
        <v>22</v>
      </c>
      <c r="C19" s="10" t="s">
        <v>36</v>
      </c>
      <c r="D19" s="10" t="s">
        <v>129</v>
      </c>
      <c r="E19" s="10" t="s">
        <v>43</v>
      </c>
      <c r="F19" s="11" t="s">
        <v>131</v>
      </c>
      <c r="G19" s="32"/>
      <c r="H19" s="182" t="s">
        <v>0</v>
      </c>
      <c r="I19" s="183" t="s">
        <v>22</v>
      </c>
      <c r="J19" s="183" t="s">
        <v>130</v>
      </c>
      <c r="K19" s="40" t="s">
        <v>128</v>
      </c>
      <c r="L19" s="40" t="s">
        <v>132</v>
      </c>
      <c r="M19" s="40" t="s">
        <v>95</v>
      </c>
    </row>
    <row r="20" spans="1:13" ht="15.75" hidden="1" customHeight="1" x14ac:dyDescent="0.3">
      <c r="A20" s="12">
        <v>1</v>
      </c>
      <c r="B20" s="13" t="s">
        <v>24</v>
      </c>
      <c r="C20" s="186"/>
      <c r="D20" s="187"/>
      <c r="E20" s="188" t="e">
        <f>C20/$C$32</f>
        <v>#DIV/0!</v>
      </c>
      <c r="F20" s="91">
        <f>D20/$D$32</f>
        <v>0</v>
      </c>
      <c r="G20" s="41"/>
      <c r="H20" s="46">
        <v>1</v>
      </c>
      <c r="I20" s="45" t="s">
        <v>24</v>
      </c>
      <c r="J20" s="30"/>
      <c r="K20" s="189"/>
      <c r="L20" s="92" t="e">
        <f>J20/$J$32</f>
        <v>#DIV/0!</v>
      </c>
      <c r="M20" s="93">
        <f>K20/$K$32</f>
        <v>0</v>
      </c>
    </row>
    <row r="21" spans="1:13" ht="15.75" hidden="1" customHeight="1" x14ac:dyDescent="0.3">
      <c r="A21" s="12">
        <v>2</v>
      </c>
      <c r="B21" s="13" t="s">
        <v>25</v>
      </c>
      <c r="C21" s="190"/>
      <c r="D21" s="191"/>
      <c r="E21" s="188" t="e">
        <f t="shared" ref="E21:E31" si="5">C21/$C$32</f>
        <v>#DIV/0!</v>
      </c>
      <c r="F21" s="91">
        <f t="shared" ref="F21:F31" si="6">D21/$D$32</f>
        <v>0</v>
      </c>
      <c r="G21" s="41"/>
      <c r="H21" s="47">
        <v>2</v>
      </c>
      <c r="I21" s="13" t="s">
        <v>25</v>
      </c>
      <c r="J21" s="26"/>
      <c r="K21" s="192"/>
      <c r="L21" s="92" t="e">
        <f t="shared" ref="L21:L31" si="7">J21/$J$32</f>
        <v>#DIV/0!</v>
      </c>
      <c r="M21" s="93">
        <f t="shared" ref="M21:M31" si="8">K21/$K$32</f>
        <v>0</v>
      </c>
    </row>
    <row r="22" spans="1:13" ht="15.6" hidden="1" x14ac:dyDescent="0.3">
      <c r="A22" s="12">
        <v>3</v>
      </c>
      <c r="B22" s="13" t="s">
        <v>26</v>
      </c>
      <c r="C22" s="190"/>
      <c r="D22" s="191"/>
      <c r="E22" s="188" t="e">
        <f t="shared" si="5"/>
        <v>#DIV/0!</v>
      </c>
      <c r="F22" s="91">
        <f t="shared" si="6"/>
        <v>0</v>
      </c>
      <c r="G22" s="41"/>
      <c r="H22" s="47">
        <v>3</v>
      </c>
      <c r="I22" s="13" t="s">
        <v>26</v>
      </c>
      <c r="J22" s="26"/>
      <c r="K22" s="192"/>
      <c r="L22" s="92" t="e">
        <f t="shared" si="7"/>
        <v>#DIV/0!</v>
      </c>
      <c r="M22" s="93">
        <f t="shared" si="8"/>
        <v>0</v>
      </c>
    </row>
    <row r="23" spans="1:13" ht="15.6" hidden="1" x14ac:dyDescent="0.3">
      <c r="A23" s="12">
        <v>4</v>
      </c>
      <c r="B23" s="13" t="s">
        <v>27</v>
      </c>
      <c r="C23" s="190"/>
      <c r="D23" s="191"/>
      <c r="E23" s="188" t="e">
        <f t="shared" si="5"/>
        <v>#DIV/0!</v>
      </c>
      <c r="F23" s="91">
        <f t="shared" si="6"/>
        <v>0</v>
      </c>
      <c r="G23" s="41"/>
      <c r="H23" s="47">
        <v>4</v>
      </c>
      <c r="I23" s="13" t="s">
        <v>27</v>
      </c>
      <c r="J23" s="95"/>
      <c r="K23" s="192"/>
      <c r="L23" s="92" t="e">
        <f t="shared" si="7"/>
        <v>#DIV/0!</v>
      </c>
      <c r="M23" s="93">
        <f t="shared" si="8"/>
        <v>0</v>
      </c>
    </row>
    <row r="24" spans="1:13" ht="15.6" hidden="1" x14ac:dyDescent="0.3">
      <c r="A24" s="12">
        <v>5</v>
      </c>
      <c r="B24" s="13" t="s">
        <v>28</v>
      </c>
      <c r="C24" s="190"/>
      <c r="D24" s="94"/>
      <c r="E24" s="188" t="e">
        <f t="shared" si="5"/>
        <v>#DIV/0!</v>
      </c>
      <c r="F24" s="91">
        <f t="shared" si="6"/>
        <v>0</v>
      </c>
      <c r="G24" s="41"/>
      <c r="H24" s="47">
        <v>5</v>
      </c>
      <c r="I24" s="13" t="s">
        <v>28</v>
      </c>
      <c r="J24" s="95"/>
      <c r="K24" s="96"/>
      <c r="L24" s="92" t="e">
        <f t="shared" si="7"/>
        <v>#DIV/0!</v>
      </c>
      <c r="M24" s="93">
        <f t="shared" si="8"/>
        <v>0</v>
      </c>
    </row>
    <row r="25" spans="1:13" ht="15.6" hidden="1" x14ac:dyDescent="0.3">
      <c r="A25" s="12">
        <v>6</v>
      </c>
      <c r="B25" s="13" t="s">
        <v>29</v>
      </c>
      <c r="C25" s="190"/>
      <c r="D25" s="94"/>
      <c r="E25" s="188" t="e">
        <f t="shared" si="5"/>
        <v>#DIV/0!</v>
      </c>
      <c r="F25" s="91">
        <f t="shared" si="6"/>
        <v>0</v>
      </c>
      <c r="G25" s="41"/>
      <c r="H25" s="47">
        <v>6</v>
      </c>
      <c r="I25" s="13" t="s">
        <v>29</v>
      </c>
      <c r="J25" s="95"/>
      <c r="K25" s="96"/>
      <c r="L25" s="92" t="e">
        <f t="shared" si="7"/>
        <v>#DIV/0!</v>
      </c>
      <c r="M25" s="93">
        <f t="shared" si="8"/>
        <v>0</v>
      </c>
    </row>
    <row r="26" spans="1:13" ht="15.6" hidden="1" x14ac:dyDescent="0.3">
      <c r="A26" s="12">
        <v>7</v>
      </c>
      <c r="B26" s="13" t="s">
        <v>30</v>
      </c>
      <c r="C26" s="190"/>
      <c r="D26" s="94"/>
      <c r="E26" s="188" t="e">
        <f t="shared" si="5"/>
        <v>#DIV/0!</v>
      </c>
      <c r="F26" s="91">
        <f t="shared" si="6"/>
        <v>0</v>
      </c>
      <c r="G26" s="41"/>
      <c r="H26" s="47">
        <v>7</v>
      </c>
      <c r="I26" s="13" t="s">
        <v>30</v>
      </c>
      <c r="J26" s="95"/>
      <c r="K26" s="96"/>
      <c r="L26" s="92" t="e">
        <f t="shared" si="7"/>
        <v>#DIV/0!</v>
      </c>
      <c r="M26" s="93">
        <f t="shared" si="8"/>
        <v>0</v>
      </c>
    </row>
    <row r="27" spans="1:13" ht="15.6" hidden="1" x14ac:dyDescent="0.3">
      <c r="A27" s="12">
        <v>8</v>
      </c>
      <c r="B27" s="13" t="s">
        <v>31</v>
      </c>
      <c r="C27" s="190"/>
      <c r="D27" s="94"/>
      <c r="E27" s="188" t="e">
        <f t="shared" si="5"/>
        <v>#DIV/0!</v>
      </c>
      <c r="F27" s="91">
        <f t="shared" si="6"/>
        <v>0</v>
      </c>
      <c r="G27" s="41"/>
      <c r="H27" s="47">
        <v>8</v>
      </c>
      <c r="I27" s="13" t="s">
        <v>31</v>
      </c>
      <c r="J27" s="95"/>
      <c r="K27" s="96"/>
      <c r="L27" s="92" t="e">
        <f t="shared" si="7"/>
        <v>#DIV/0!</v>
      </c>
      <c r="M27" s="93">
        <f t="shared" si="8"/>
        <v>0</v>
      </c>
    </row>
    <row r="28" spans="1:13" ht="15.6" hidden="1" x14ac:dyDescent="0.3">
      <c r="A28" s="12">
        <v>9</v>
      </c>
      <c r="B28" s="13" t="s">
        <v>32</v>
      </c>
      <c r="C28" s="190"/>
      <c r="D28" s="94"/>
      <c r="E28" s="188" t="e">
        <f t="shared" si="5"/>
        <v>#DIV/0!</v>
      </c>
      <c r="F28" s="91">
        <f t="shared" si="6"/>
        <v>0</v>
      </c>
      <c r="G28" s="41"/>
      <c r="H28" s="47">
        <v>9</v>
      </c>
      <c r="I28" s="13" t="s">
        <v>32</v>
      </c>
      <c r="J28" s="95"/>
      <c r="K28" s="96"/>
      <c r="L28" s="92" t="e">
        <f t="shared" si="7"/>
        <v>#DIV/0!</v>
      </c>
      <c r="M28" s="93">
        <f t="shared" si="8"/>
        <v>0</v>
      </c>
    </row>
    <row r="29" spans="1:13" ht="15.6" hidden="1" x14ac:dyDescent="0.3">
      <c r="A29" s="12">
        <v>10</v>
      </c>
      <c r="B29" s="13" t="s">
        <v>33</v>
      </c>
      <c r="C29" s="190"/>
      <c r="D29" s="94"/>
      <c r="E29" s="188" t="e">
        <f t="shared" si="5"/>
        <v>#DIV/0!</v>
      </c>
      <c r="F29" s="91">
        <f t="shared" si="6"/>
        <v>0</v>
      </c>
      <c r="G29" s="41"/>
      <c r="H29" s="47">
        <v>10</v>
      </c>
      <c r="I29" s="13" t="s">
        <v>33</v>
      </c>
      <c r="J29" s="95"/>
      <c r="K29" s="96"/>
      <c r="L29" s="92" t="e">
        <f t="shared" si="7"/>
        <v>#DIV/0!</v>
      </c>
      <c r="M29" s="93">
        <f t="shared" si="8"/>
        <v>0</v>
      </c>
    </row>
    <row r="30" spans="1:13" ht="15.6" hidden="1" x14ac:dyDescent="0.3">
      <c r="A30" s="12">
        <v>11</v>
      </c>
      <c r="B30" s="13" t="s">
        <v>34</v>
      </c>
      <c r="C30" s="190"/>
      <c r="D30" s="94"/>
      <c r="E30" s="188" t="e">
        <f t="shared" si="5"/>
        <v>#DIV/0!</v>
      </c>
      <c r="F30" s="91">
        <f t="shared" si="6"/>
        <v>0</v>
      </c>
      <c r="G30" s="41"/>
      <c r="H30" s="47">
        <v>11</v>
      </c>
      <c r="I30" s="13" t="s">
        <v>34</v>
      </c>
      <c r="J30" s="95"/>
      <c r="K30" s="96"/>
      <c r="L30" s="92" t="e">
        <f t="shared" si="7"/>
        <v>#DIV/0!</v>
      </c>
      <c r="M30" s="93">
        <f t="shared" si="8"/>
        <v>0</v>
      </c>
    </row>
    <row r="31" spans="1:13" ht="16.2" hidden="1" thickBot="1" x14ac:dyDescent="0.35">
      <c r="A31" s="17">
        <v>12</v>
      </c>
      <c r="B31" s="18" t="s">
        <v>35</v>
      </c>
      <c r="C31" s="186"/>
      <c r="D31" s="94"/>
      <c r="E31" s="188" t="e">
        <f t="shared" si="5"/>
        <v>#DIV/0!</v>
      </c>
      <c r="F31" s="91">
        <f t="shared" si="6"/>
        <v>0</v>
      </c>
      <c r="G31" s="41"/>
      <c r="H31" s="48">
        <v>12</v>
      </c>
      <c r="I31" s="16" t="s">
        <v>35</v>
      </c>
      <c r="J31" s="97"/>
      <c r="K31" s="96"/>
      <c r="L31" s="92" t="e">
        <f t="shared" si="7"/>
        <v>#DIV/0!</v>
      </c>
      <c r="M31" s="93">
        <f t="shared" si="8"/>
        <v>0</v>
      </c>
    </row>
    <row r="32" spans="1:13" ht="18.600000000000001" hidden="1" thickBot="1" x14ac:dyDescent="0.4">
      <c r="A32" s="276" t="s">
        <v>21</v>
      </c>
      <c r="B32" s="277"/>
      <c r="C32" s="27">
        <f>SUM(C20:C31)</f>
        <v>0</v>
      </c>
      <c r="D32" s="27">
        <v>829162148.59512293</v>
      </c>
      <c r="E32" s="43" t="e">
        <f>SUM(E20:E31)</f>
        <v>#DIV/0!</v>
      </c>
      <c r="F32" s="44">
        <f>SUM(F20:F31)</f>
        <v>0</v>
      </c>
      <c r="G32" s="42"/>
      <c r="H32" s="276" t="s">
        <v>21</v>
      </c>
      <c r="I32" s="277"/>
      <c r="J32" s="27">
        <f>SUM(J20:J31)</f>
        <v>0</v>
      </c>
      <c r="K32" s="27">
        <v>829162148.59512293</v>
      </c>
      <c r="L32" s="43" t="e">
        <f>SUM(L20:L31)</f>
        <v>#DIV/0!</v>
      </c>
      <c r="M32" s="44">
        <v>1</v>
      </c>
    </row>
    <row r="33" spans="3:13" ht="15" hidden="1" customHeight="1" x14ac:dyDescent="0.3"/>
    <row r="34" spans="3:13" ht="15" hidden="1" thickBot="1" x14ac:dyDescent="0.35">
      <c r="C34" s="193" t="s">
        <v>186</v>
      </c>
      <c r="D34" s="194" t="e">
        <f>(D32-C32)/C32</f>
        <v>#DIV/0!</v>
      </c>
      <c r="E34" s="195">
        <f>D32-C32</f>
        <v>829162148.59512293</v>
      </c>
      <c r="J34" s="193" t="s">
        <v>186</v>
      </c>
      <c r="K34" s="196">
        <f>K35/K32</f>
        <v>-1</v>
      </c>
    </row>
    <row r="35" spans="3:13" ht="15" hidden="1" thickBot="1" x14ac:dyDescent="0.35">
      <c r="J35" s="193" t="s">
        <v>187</v>
      </c>
      <c r="K35" s="197">
        <f>J32-K32</f>
        <v>-829162148.59512293</v>
      </c>
    </row>
    <row r="36" spans="3:13" hidden="1" x14ac:dyDescent="0.3">
      <c r="C36" s="79"/>
      <c r="D36" s="79"/>
      <c r="E36" s="28"/>
      <c r="F36" s="84"/>
    </row>
    <row r="37" spans="3:13" hidden="1" x14ac:dyDescent="0.3">
      <c r="C37" s="79"/>
      <c r="D37" s="79"/>
    </row>
    <row r="38" spans="3:13" x14ac:dyDescent="0.3">
      <c r="K38" s="28"/>
      <c r="L38" s="79"/>
      <c r="M38" s="79">
        <f>L38-K38</f>
        <v>0</v>
      </c>
    </row>
    <row r="39" spans="3:13" ht="15" thickBot="1" x14ac:dyDescent="0.35">
      <c r="K39" s="28"/>
      <c r="L39" s="79"/>
      <c r="M39" s="79">
        <f>L39-K39</f>
        <v>0</v>
      </c>
    </row>
    <row r="40" spans="3:13" ht="18.600000000000001" thickBot="1" x14ac:dyDescent="0.4">
      <c r="C40" s="271">
        <v>2025</v>
      </c>
      <c r="D40" s="272"/>
      <c r="E40" s="273"/>
      <c r="I40" s="271">
        <v>2026</v>
      </c>
      <c r="J40" s="272"/>
      <c r="K40" s="273"/>
      <c r="L40" s="79"/>
      <c r="M40" s="79">
        <f>L40-K40</f>
        <v>0</v>
      </c>
    </row>
    <row r="41" spans="3:13" ht="15" thickBot="1" x14ac:dyDescent="0.35">
      <c r="C41" s="175" t="s">
        <v>138</v>
      </c>
      <c r="D41" s="274">
        <v>3200000000</v>
      </c>
      <c r="E41" s="275"/>
      <c r="F41" s="79">
        <f>F42-L42</f>
        <v>3087397.9956371784</v>
      </c>
      <c r="G41" s="79">
        <v>4250000000</v>
      </c>
      <c r="I41" s="175" t="s">
        <v>256</v>
      </c>
      <c r="J41" s="274">
        <v>4500000000</v>
      </c>
      <c r="K41" s="275"/>
      <c r="L41" s="79">
        <f>J42-L42</f>
        <v>113087397.99563718</v>
      </c>
    </row>
    <row r="42" spans="3:13" ht="18.600000000000001" thickBot="1" x14ac:dyDescent="0.4">
      <c r="C42" s="202" t="s">
        <v>257</v>
      </c>
      <c r="D42" s="267">
        <f>D41*47%</f>
        <v>1504000000</v>
      </c>
      <c r="E42" s="268"/>
      <c r="F42" s="79">
        <v>2050000000</v>
      </c>
      <c r="G42" s="79">
        <f>G41*48%</f>
        <v>2040000000</v>
      </c>
      <c r="H42" s="79">
        <f>G42-L42</f>
        <v>-6912602.0043628216</v>
      </c>
      <c r="I42" s="202" t="s">
        <v>258</v>
      </c>
      <c r="J42" s="267">
        <f>J41*48%</f>
        <v>2160000000</v>
      </c>
      <c r="K42" s="268"/>
      <c r="L42" s="79">
        <v>2046912602.0043628</v>
      </c>
      <c r="M42" s="79">
        <f>J41-(L41+L45)</f>
        <v>4200377389.1547461</v>
      </c>
    </row>
    <row r="43" spans="3:13" ht="18.600000000000001" thickBot="1" x14ac:dyDescent="0.4">
      <c r="C43" s="203" t="s">
        <v>259</v>
      </c>
      <c r="D43" s="269">
        <f>D41*53%</f>
        <v>1696000000</v>
      </c>
      <c r="E43" s="270"/>
      <c r="F43" s="79">
        <v>2200000000</v>
      </c>
      <c r="G43" s="79">
        <f>G41*52%</f>
        <v>2210000000</v>
      </c>
      <c r="H43" s="79">
        <f>G43-L43</f>
        <v>56535212.849617004</v>
      </c>
      <c r="I43" s="203" t="s">
        <v>260</v>
      </c>
      <c r="J43" s="269">
        <f>J41*52%</f>
        <v>2340000000</v>
      </c>
      <c r="K43" s="270"/>
      <c r="L43" s="79">
        <v>2153464787.150383</v>
      </c>
    </row>
    <row r="44" spans="3:13" x14ac:dyDescent="0.3">
      <c r="F44" s="79">
        <f>F43-L43</f>
        <v>46535212.849617004</v>
      </c>
      <c r="L44" s="79"/>
    </row>
    <row r="45" spans="3:13" x14ac:dyDescent="0.3">
      <c r="G45" s="79"/>
      <c r="L45" s="79">
        <f>J43-L43</f>
        <v>186535212.849617</v>
      </c>
    </row>
    <row r="46" spans="3:13" ht="15" thickBot="1" x14ac:dyDescent="0.35"/>
    <row r="47" spans="3:13" ht="18.600000000000001" thickBot="1" x14ac:dyDescent="0.4">
      <c r="C47" s="271">
        <v>2025</v>
      </c>
      <c r="D47" s="272"/>
      <c r="E47" s="273"/>
      <c r="I47" s="271">
        <v>2026</v>
      </c>
      <c r="J47" s="272"/>
      <c r="K47" s="273"/>
    </row>
    <row r="48" spans="3:13" ht="15" thickBot="1" x14ac:dyDescent="0.35">
      <c r="C48" s="175" t="s">
        <v>138</v>
      </c>
      <c r="D48" s="274">
        <v>3500000000</v>
      </c>
      <c r="E48" s="275"/>
      <c r="F48" s="52" t="s">
        <v>40</v>
      </c>
      <c r="I48" s="175" t="s">
        <v>256</v>
      </c>
      <c r="J48" s="274">
        <v>4750000000</v>
      </c>
      <c r="K48" s="275"/>
    </row>
    <row r="49" spans="3:11" ht="18.600000000000001" thickBot="1" x14ac:dyDescent="0.4">
      <c r="C49" s="202" t="s">
        <v>257</v>
      </c>
      <c r="D49" s="267">
        <f>D48*47%</f>
        <v>1645000000</v>
      </c>
      <c r="E49" s="268"/>
      <c r="F49" s="204">
        <f>D49-C14</f>
        <v>14407063.849999666</v>
      </c>
      <c r="I49" s="202" t="s">
        <v>258</v>
      </c>
      <c r="J49" s="267">
        <f>J48*48%</f>
        <v>2280000000</v>
      </c>
      <c r="K49" s="268"/>
    </row>
    <row r="50" spans="3:11" ht="18.600000000000001" thickBot="1" x14ac:dyDescent="0.4">
      <c r="C50" s="203" t="s">
        <v>259</v>
      </c>
      <c r="D50" s="269">
        <f>D48*53%</f>
        <v>1855000000</v>
      </c>
      <c r="E50" s="270"/>
      <c r="F50" s="204">
        <f>D50-E14</f>
        <v>89072703.599961758</v>
      </c>
      <c r="I50" s="203" t="s">
        <v>260</v>
      </c>
      <c r="J50" s="269">
        <f>J48*52%</f>
        <v>2470000000</v>
      </c>
      <c r="K50" s="270"/>
    </row>
  </sheetData>
  <mergeCells count="21">
    <mergeCell ref="A14:B14"/>
    <mergeCell ref="A32:B32"/>
    <mergeCell ref="H32:I32"/>
    <mergeCell ref="C18:E18"/>
    <mergeCell ref="I18:L18"/>
    <mergeCell ref="C40:E40"/>
    <mergeCell ref="I40:K40"/>
    <mergeCell ref="D41:E41"/>
    <mergeCell ref="J41:K41"/>
    <mergeCell ref="D42:E42"/>
    <mergeCell ref="J42:K42"/>
    <mergeCell ref="D49:E49"/>
    <mergeCell ref="J49:K49"/>
    <mergeCell ref="D50:E50"/>
    <mergeCell ref="J50:K50"/>
    <mergeCell ref="D43:E43"/>
    <mergeCell ref="J43:K43"/>
    <mergeCell ref="C47:E47"/>
    <mergeCell ref="I47:K47"/>
    <mergeCell ref="D48:E48"/>
    <mergeCell ref="J48:K4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tabSelected="1" topLeftCell="A73" zoomScaleNormal="100" workbookViewId="0">
      <pane xSplit="2" topLeftCell="C1" activePane="topRight" state="frozen"/>
      <selection activeCell="B1" sqref="B1"/>
      <selection pane="topRight" activeCell="F95" sqref="F95"/>
    </sheetView>
  </sheetViews>
  <sheetFormatPr defaultRowHeight="14.4" x14ac:dyDescent="0.3"/>
  <cols>
    <col min="1" max="1" width="5.6640625" customWidth="1"/>
    <col min="2" max="2" width="27.44140625" customWidth="1"/>
    <col min="3" max="5" width="15.5546875" customWidth="1"/>
    <col min="6" max="6" width="16" customWidth="1"/>
    <col min="7" max="7" width="13.88671875" customWidth="1"/>
    <col min="8" max="8" width="14.33203125" customWidth="1"/>
    <col min="9" max="9" width="13.88671875" customWidth="1"/>
    <col min="10" max="12" width="13.88671875"/>
    <col min="13" max="13" width="13.44140625" customWidth="1"/>
    <col min="14" max="14" width="13.88671875"/>
    <col min="15" max="15" width="19.5546875" bestFit="1" customWidth="1"/>
  </cols>
  <sheetData>
    <row r="1" spans="1:15" ht="33.75" customHeight="1" x14ac:dyDescent="0.3">
      <c r="C1" s="29"/>
      <c r="E1" s="284"/>
      <c r="F1" s="285"/>
      <c r="G1" s="285"/>
      <c r="H1" s="285"/>
      <c r="I1" s="285"/>
      <c r="M1" s="29"/>
    </row>
    <row r="2" spans="1:15" ht="33.75" customHeight="1" thickBot="1" x14ac:dyDescent="0.35">
      <c r="E2" s="289"/>
      <c r="F2" s="290"/>
      <c r="G2" s="290"/>
      <c r="H2" s="290"/>
      <c r="I2" s="290"/>
    </row>
    <row r="3" spans="1:15" ht="31.8" thickBot="1" x14ac:dyDescent="0.35">
      <c r="A3" s="66" t="s">
        <v>0</v>
      </c>
      <c r="B3" s="69" t="s">
        <v>1</v>
      </c>
      <c r="C3" s="20" t="s">
        <v>209</v>
      </c>
      <c r="D3" s="22" t="s">
        <v>210</v>
      </c>
      <c r="E3" s="20" t="s">
        <v>211</v>
      </c>
      <c r="F3" s="22" t="s">
        <v>212</v>
      </c>
      <c r="G3" s="22" t="s">
        <v>213</v>
      </c>
      <c r="H3" s="20" t="s">
        <v>214</v>
      </c>
      <c r="I3" s="20" t="s">
        <v>215</v>
      </c>
      <c r="J3" s="20" t="s">
        <v>216</v>
      </c>
      <c r="K3" s="20" t="s">
        <v>217</v>
      </c>
      <c r="L3" s="20" t="s">
        <v>218</v>
      </c>
      <c r="M3" s="20" t="s">
        <v>219</v>
      </c>
      <c r="N3" s="20" t="s">
        <v>220</v>
      </c>
      <c r="O3" s="238" t="s">
        <v>126</v>
      </c>
    </row>
    <row r="4" spans="1:15" x14ac:dyDescent="0.3">
      <c r="A4" s="239">
        <v>1</v>
      </c>
      <c r="B4" s="89" t="s">
        <v>5</v>
      </c>
      <c r="C4" s="85">
        <v>6270000</v>
      </c>
      <c r="D4" s="85">
        <v>4800000</v>
      </c>
      <c r="E4" s="85">
        <v>5020000</v>
      </c>
      <c r="F4" s="85">
        <v>6170000</v>
      </c>
      <c r="G4" s="85">
        <v>6470000</v>
      </c>
      <c r="H4" s="85">
        <v>6930000</v>
      </c>
      <c r="I4" s="85">
        <v>7290000</v>
      </c>
      <c r="J4" s="85">
        <v>6400000</v>
      </c>
      <c r="K4" s="85">
        <v>6490000</v>
      </c>
      <c r="L4" s="85">
        <v>6930000</v>
      </c>
      <c r="M4" s="85">
        <v>6740000</v>
      </c>
      <c r="N4" s="85">
        <v>6780000</v>
      </c>
      <c r="O4" s="240">
        <f>C4+D4+E4+F4+G4+H4+I4+J4+K4+L4+M4+N4</f>
        <v>76290000</v>
      </c>
    </row>
    <row r="5" spans="1:15" x14ac:dyDescent="0.3">
      <c r="A5" s="61">
        <v>2</v>
      </c>
      <c r="B5" s="90" t="s">
        <v>47</v>
      </c>
      <c r="C5" s="85">
        <v>5400000</v>
      </c>
      <c r="D5" s="85">
        <v>4660000</v>
      </c>
      <c r="E5" s="85">
        <v>4400000</v>
      </c>
      <c r="F5" s="85">
        <v>6020000</v>
      </c>
      <c r="G5" s="85">
        <v>6360000</v>
      </c>
      <c r="H5" s="85">
        <v>6600000</v>
      </c>
      <c r="I5" s="85">
        <v>7100000</v>
      </c>
      <c r="J5" s="85">
        <v>7550000</v>
      </c>
      <c r="K5" s="85">
        <v>6960000</v>
      </c>
      <c r="L5" s="85">
        <v>7300000</v>
      </c>
      <c r="M5" s="85">
        <v>7170000</v>
      </c>
      <c r="N5" s="85">
        <v>7330000</v>
      </c>
      <c r="O5" s="240">
        <f>C5+D5+E5+F5+G5+H5+I5+J5+K5+L5+M5+N5</f>
        <v>76850000</v>
      </c>
    </row>
    <row r="6" spans="1:15" x14ac:dyDescent="0.3">
      <c r="A6" s="239">
        <v>3</v>
      </c>
      <c r="B6" s="89" t="s">
        <v>123</v>
      </c>
      <c r="C6" s="85">
        <v>6060000</v>
      </c>
      <c r="D6" s="85">
        <v>4700000</v>
      </c>
      <c r="E6" s="85">
        <v>4930000</v>
      </c>
      <c r="F6" s="85">
        <v>6000000</v>
      </c>
      <c r="G6" s="85">
        <v>6710000</v>
      </c>
      <c r="H6" s="85">
        <v>7120000</v>
      </c>
      <c r="I6" s="85">
        <v>6650000</v>
      </c>
      <c r="J6" s="85">
        <v>6220000</v>
      </c>
      <c r="K6" s="85">
        <v>6420000</v>
      </c>
      <c r="L6" s="85">
        <v>6520000</v>
      </c>
      <c r="M6" s="85">
        <v>6130000</v>
      </c>
      <c r="N6" s="85">
        <v>6460000</v>
      </c>
      <c r="O6" s="240">
        <f>C6+D6+E6+F6+G6+H6+I6+J6+K6+L6+M6+N6</f>
        <v>73920000</v>
      </c>
    </row>
    <row r="7" spans="1:15" x14ac:dyDescent="0.3">
      <c r="A7" s="61">
        <v>4</v>
      </c>
      <c r="B7" s="90" t="s">
        <v>68</v>
      </c>
      <c r="C7" s="85">
        <v>6570000</v>
      </c>
      <c r="D7" s="85">
        <v>5290000</v>
      </c>
      <c r="E7" s="85">
        <v>5540000</v>
      </c>
      <c r="F7" s="85">
        <v>6750000</v>
      </c>
      <c r="G7" s="85">
        <v>7450000</v>
      </c>
      <c r="H7" s="85">
        <v>8100000</v>
      </c>
      <c r="I7" s="85">
        <v>8240000</v>
      </c>
      <c r="J7" s="85">
        <v>8100000</v>
      </c>
      <c r="K7" s="85">
        <v>8090000</v>
      </c>
      <c r="L7" s="85">
        <v>8620000</v>
      </c>
      <c r="M7" s="85">
        <v>8450000</v>
      </c>
      <c r="N7" s="85">
        <v>9220000</v>
      </c>
      <c r="O7" s="240">
        <f>C7+D7+E7+F7+G7+H7+I7+J7+K7+L7+M7+N7</f>
        <v>90420000</v>
      </c>
    </row>
    <row r="8" spans="1:15" x14ac:dyDescent="0.3">
      <c r="A8" s="239">
        <v>5</v>
      </c>
      <c r="B8" s="89" t="s">
        <v>109</v>
      </c>
      <c r="C8" s="85">
        <v>3980000</v>
      </c>
      <c r="D8" s="85">
        <v>3050000</v>
      </c>
      <c r="E8" s="85">
        <v>3470000</v>
      </c>
      <c r="F8" s="85">
        <v>3970000</v>
      </c>
      <c r="G8" s="85">
        <v>4700000</v>
      </c>
      <c r="H8" s="85">
        <v>4550000</v>
      </c>
      <c r="I8" s="85">
        <v>4680000</v>
      </c>
      <c r="J8" s="85">
        <v>4570000</v>
      </c>
      <c r="K8" s="85">
        <v>4960000</v>
      </c>
      <c r="L8" s="85">
        <v>5240000</v>
      </c>
      <c r="M8" s="85">
        <v>4880000</v>
      </c>
      <c r="N8" s="85">
        <v>4800000</v>
      </c>
      <c r="O8" s="240">
        <f>C8+D8+E8+F8+G8+H8+I8+J8+K8+L8+M8+N8</f>
        <v>52850000</v>
      </c>
    </row>
    <row r="9" spans="1:15" x14ac:dyDescent="0.3">
      <c r="A9" s="61">
        <v>6</v>
      </c>
      <c r="B9" s="90" t="s">
        <v>63</v>
      </c>
      <c r="C9" s="85">
        <v>2960000</v>
      </c>
      <c r="D9" s="85">
        <v>2350000</v>
      </c>
      <c r="E9" s="85">
        <v>2370000</v>
      </c>
      <c r="F9" s="85">
        <v>3200000</v>
      </c>
      <c r="G9" s="85">
        <v>3500000</v>
      </c>
      <c r="H9" s="85">
        <v>3430000</v>
      </c>
      <c r="I9" s="85">
        <v>3540000</v>
      </c>
      <c r="J9" s="85">
        <v>3590000</v>
      </c>
      <c r="K9" s="85">
        <v>3800000</v>
      </c>
      <c r="L9" s="85">
        <v>3690000</v>
      </c>
      <c r="M9" s="85">
        <v>3460000</v>
      </c>
      <c r="N9" s="85">
        <v>3720000</v>
      </c>
      <c r="O9" s="240">
        <f>C9+D9+E9+F9+G9+H9+I9+J9+K9+L9+M9+N9</f>
        <v>39610000</v>
      </c>
    </row>
    <row r="10" spans="1:15" x14ac:dyDescent="0.3">
      <c r="A10" s="239">
        <v>7</v>
      </c>
      <c r="B10" s="102" t="s">
        <v>226</v>
      </c>
      <c r="C10" s="85">
        <v>2500000</v>
      </c>
      <c r="D10" s="85">
        <v>2100000</v>
      </c>
      <c r="E10" s="85">
        <v>2300000</v>
      </c>
      <c r="F10" s="85">
        <v>2600000</v>
      </c>
      <c r="G10" s="85">
        <v>2900000</v>
      </c>
      <c r="H10" s="85">
        <v>3000000</v>
      </c>
      <c r="I10" s="85">
        <v>3200000</v>
      </c>
      <c r="J10" s="85">
        <v>3350000</v>
      </c>
      <c r="K10" s="85">
        <v>3350000</v>
      </c>
      <c r="L10" s="85">
        <v>3500000</v>
      </c>
      <c r="M10" s="85">
        <v>3300000</v>
      </c>
      <c r="N10" s="85">
        <v>3460000</v>
      </c>
      <c r="O10" s="240">
        <f>C10+D10+E10+F10+G10+H10+I10+J10+K10+L10+M10+N10</f>
        <v>35560000</v>
      </c>
    </row>
    <row r="11" spans="1:15" x14ac:dyDescent="0.3">
      <c r="A11" s="61">
        <v>8</v>
      </c>
      <c r="B11" s="106" t="s">
        <v>229</v>
      </c>
      <c r="C11" s="85">
        <v>750000</v>
      </c>
      <c r="D11" s="85">
        <v>600000</v>
      </c>
      <c r="E11" s="85">
        <v>750000</v>
      </c>
      <c r="F11" s="85">
        <v>800000</v>
      </c>
      <c r="G11" s="85">
        <v>900000</v>
      </c>
      <c r="H11" s="85">
        <v>950000</v>
      </c>
      <c r="I11" s="85">
        <v>1030000</v>
      </c>
      <c r="J11" s="85">
        <v>1150000</v>
      </c>
      <c r="K11" s="85">
        <v>1150000</v>
      </c>
      <c r="L11" s="85">
        <v>1250000</v>
      </c>
      <c r="M11" s="85">
        <v>1250000</v>
      </c>
      <c r="N11" s="85">
        <v>1300000</v>
      </c>
      <c r="O11" s="240">
        <f>C11+D11+E11+F11+G11+H11+I11+J11+K11+L11+M11+N11</f>
        <v>11880000</v>
      </c>
    </row>
    <row r="12" spans="1:15" x14ac:dyDescent="0.3">
      <c r="A12" s="239">
        <v>9</v>
      </c>
      <c r="B12" s="89" t="s">
        <v>4</v>
      </c>
      <c r="C12" s="85">
        <v>1725000</v>
      </c>
      <c r="D12" s="85">
        <v>1450000</v>
      </c>
      <c r="E12" s="85">
        <v>1525000</v>
      </c>
      <c r="F12" s="85">
        <v>1890000</v>
      </c>
      <c r="G12" s="85">
        <v>2140000</v>
      </c>
      <c r="H12" s="85">
        <v>2100000</v>
      </c>
      <c r="I12" s="85">
        <v>2160000</v>
      </c>
      <c r="J12" s="85">
        <v>2200000</v>
      </c>
      <c r="K12" s="85">
        <v>2280000</v>
      </c>
      <c r="L12" s="85">
        <v>2670000</v>
      </c>
      <c r="M12" s="85">
        <v>2330000</v>
      </c>
      <c r="N12" s="85">
        <v>2320000</v>
      </c>
      <c r="O12" s="240">
        <f>C12+D12+E12+F12+G12+H12+I12+J12+K12+L12+M12+N12</f>
        <v>24790000</v>
      </c>
    </row>
    <row r="13" spans="1:15" x14ac:dyDescent="0.3">
      <c r="A13" s="61">
        <v>10</v>
      </c>
      <c r="B13" s="90" t="s">
        <v>69</v>
      </c>
      <c r="C13" s="85">
        <v>2270000</v>
      </c>
      <c r="D13" s="85">
        <v>1900000</v>
      </c>
      <c r="E13" s="85">
        <v>1935000</v>
      </c>
      <c r="F13" s="85">
        <v>2580000</v>
      </c>
      <c r="G13" s="85">
        <v>2920000</v>
      </c>
      <c r="H13" s="85">
        <v>2900000</v>
      </c>
      <c r="I13" s="85">
        <v>3150000</v>
      </c>
      <c r="J13" s="85">
        <v>3300000</v>
      </c>
      <c r="K13" s="85">
        <v>3020000</v>
      </c>
      <c r="L13" s="85">
        <v>3240000</v>
      </c>
      <c r="M13" s="85">
        <v>2690000</v>
      </c>
      <c r="N13" s="85">
        <v>2850000</v>
      </c>
      <c r="O13" s="240">
        <f>C13+D13+E13+F13+G13+H13+I13+J13+K13+L13+M13+N13</f>
        <v>32755000</v>
      </c>
    </row>
    <row r="14" spans="1:15" x14ac:dyDescent="0.3">
      <c r="A14" s="239">
        <v>11</v>
      </c>
      <c r="B14" s="89" t="s">
        <v>148</v>
      </c>
      <c r="C14" s="85">
        <v>800000</v>
      </c>
      <c r="D14" s="85">
        <v>750000</v>
      </c>
      <c r="E14" s="85">
        <v>700000</v>
      </c>
      <c r="F14" s="85">
        <v>850000</v>
      </c>
      <c r="G14" s="85">
        <v>1430000</v>
      </c>
      <c r="H14" s="85">
        <v>1320000</v>
      </c>
      <c r="I14" s="85">
        <v>1500000</v>
      </c>
      <c r="J14" s="85">
        <v>2040000</v>
      </c>
      <c r="K14" s="85">
        <v>2040000</v>
      </c>
      <c r="L14" s="85">
        <v>2050000</v>
      </c>
      <c r="M14" s="85">
        <v>1600000</v>
      </c>
      <c r="N14" s="85">
        <v>1870000</v>
      </c>
      <c r="O14" s="240">
        <f>C14+D14+E14+F14+G14+H14+I14+J14+K14+L14+M14+N14</f>
        <v>16950000</v>
      </c>
    </row>
    <row r="15" spans="1:15" x14ac:dyDescent="0.3">
      <c r="A15" s="61">
        <v>12</v>
      </c>
      <c r="B15" s="90" t="s">
        <v>103</v>
      </c>
      <c r="C15" s="85">
        <v>950000</v>
      </c>
      <c r="D15" s="85">
        <v>600000</v>
      </c>
      <c r="E15" s="85">
        <v>1000000</v>
      </c>
      <c r="F15" s="85">
        <v>1060000</v>
      </c>
      <c r="G15" s="85">
        <v>1150000</v>
      </c>
      <c r="H15" s="85">
        <v>1080000</v>
      </c>
      <c r="I15" s="85">
        <v>1070000</v>
      </c>
      <c r="J15" s="85">
        <v>1100000</v>
      </c>
      <c r="K15" s="85">
        <v>1020000</v>
      </c>
      <c r="L15" s="85">
        <v>1150000</v>
      </c>
      <c r="M15" s="85">
        <v>1020000</v>
      </c>
      <c r="N15" s="85">
        <v>1000000</v>
      </c>
      <c r="O15" s="240">
        <f>C15+D15+E15+F15+G15+H15+I15+J15+K15+L15+M15+N15</f>
        <v>12200000</v>
      </c>
    </row>
    <row r="16" spans="1:15" x14ac:dyDescent="0.3">
      <c r="A16" s="239">
        <v>13</v>
      </c>
      <c r="B16" s="89" t="s">
        <v>77</v>
      </c>
      <c r="C16" s="85">
        <v>2680000</v>
      </c>
      <c r="D16" s="85">
        <v>2050000</v>
      </c>
      <c r="E16" s="85">
        <v>2270000</v>
      </c>
      <c r="F16" s="85">
        <v>2590000</v>
      </c>
      <c r="G16" s="85">
        <v>3070000</v>
      </c>
      <c r="H16" s="85">
        <v>3100000</v>
      </c>
      <c r="I16" s="85">
        <v>3300000</v>
      </c>
      <c r="J16" s="85">
        <v>3300000</v>
      </c>
      <c r="K16" s="85">
        <v>3120000</v>
      </c>
      <c r="L16" s="85">
        <v>3250000</v>
      </c>
      <c r="M16" s="85">
        <v>3280000</v>
      </c>
      <c r="N16" s="85">
        <v>3280000</v>
      </c>
      <c r="O16" s="240">
        <f>C16+D16+E16+F16+G16+H16+I16+J16+K16+L16+M16+N16</f>
        <v>35290000</v>
      </c>
    </row>
    <row r="17" spans="1:15" ht="13.8" customHeight="1" x14ac:dyDescent="0.3">
      <c r="A17" s="61">
        <v>14</v>
      </c>
      <c r="B17" s="90" t="s">
        <v>64</v>
      </c>
      <c r="C17" s="85">
        <v>1050000</v>
      </c>
      <c r="D17" s="85">
        <v>880000</v>
      </c>
      <c r="E17" s="85">
        <v>1050000</v>
      </c>
      <c r="F17" s="85">
        <v>1030000</v>
      </c>
      <c r="G17" s="85">
        <v>1260000</v>
      </c>
      <c r="H17" s="85">
        <v>970000</v>
      </c>
      <c r="I17" s="85">
        <v>1180000</v>
      </c>
      <c r="J17" s="85">
        <v>1060000</v>
      </c>
      <c r="K17" s="85">
        <v>1180000</v>
      </c>
      <c r="L17" s="85">
        <v>1250000</v>
      </c>
      <c r="M17" s="85">
        <v>1050000</v>
      </c>
      <c r="N17" s="85">
        <v>1000000</v>
      </c>
      <c r="O17" s="240">
        <f>C17+D17+E17+F17+G17+H17+I17+J17+K17+L17+M17+N17</f>
        <v>12960000</v>
      </c>
    </row>
    <row r="18" spans="1:15" x14ac:dyDescent="0.3">
      <c r="A18" s="239">
        <v>15</v>
      </c>
      <c r="B18" s="89" t="s">
        <v>6</v>
      </c>
      <c r="C18" s="85">
        <v>4250000</v>
      </c>
      <c r="D18" s="85">
        <v>3300000</v>
      </c>
      <c r="E18" s="85">
        <v>3270000</v>
      </c>
      <c r="F18" s="85">
        <v>4130000</v>
      </c>
      <c r="G18" s="85">
        <v>4340000</v>
      </c>
      <c r="H18" s="85">
        <v>4730000</v>
      </c>
      <c r="I18" s="85">
        <v>4830000</v>
      </c>
      <c r="J18" s="85">
        <v>5000000</v>
      </c>
      <c r="K18" s="85">
        <v>5000000</v>
      </c>
      <c r="L18" s="85">
        <v>5280000</v>
      </c>
      <c r="M18" s="85">
        <v>5150000</v>
      </c>
      <c r="N18" s="85">
        <v>5170000</v>
      </c>
      <c r="O18" s="240">
        <f>C18+D18+E18+F18+G18+H18+I18+J18+K18+L18+M18+N18</f>
        <v>54450000</v>
      </c>
    </row>
    <row r="19" spans="1:15" x14ac:dyDescent="0.3">
      <c r="A19" s="61">
        <v>16</v>
      </c>
      <c r="B19" s="90" t="s">
        <v>70</v>
      </c>
      <c r="C19" s="85">
        <v>3960000</v>
      </c>
      <c r="D19" s="85">
        <v>2940000</v>
      </c>
      <c r="E19" s="85">
        <v>3300000</v>
      </c>
      <c r="F19" s="85">
        <v>3830000</v>
      </c>
      <c r="G19" s="85">
        <v>4050000</v>
      </c>
      <c r="H19" s="85">
        <v>4170000</v>
      </c>
      <c r="I19" s="85">
        <v>4940000</v>
      </c>
      <c r="J19" s="85">
        <v>4670000</v>
      </c>
      <c r="K19" s="85">
        <v>4400000</v>
      </c>
      <c r="L19" s="85">
        <v>4370000</v>
      </c>
      <c r="M19" s="85">
        <v>3900000</v>
      </c>
      <c r="N19" s="85">
        <v>3960000</v>
      </c>
      <c r="O19" s="240">
        <f>C19+D19+E19+F19+G19+H19+I19+J19+K19+L19+M19+N19</f>
        <v>48490000</v>
      </c>
    </row>
    <row r="20" spans="1:15" x14ac:dyDescent="0.3">
      <c r="A20" s="239">
        <v>17</v>
      </c>
      <c r="B20" s="89" t="s">
        <v>7</v>
      </c>
      <c r="C20" s="85">
        <v>1980000</v>
      </c>
      <c r="D20" s="85">
        <v>1480000</v>
      </c>
      <c r="E20" s="85">
        <v>1030000</v>
      </c>
      <c r="F20" s="85">
        <v>1850000</v>
      </c>
      <c r="G20" s="85">
        <v>2150000</v>
      </c>
      <c r="H20" s="85">
        <v>2100000</v>
      </c>
      <c r="I20" s="85">
        <v>2260000</v>
      </c>
      <c r="J20" s="85">
        <v>2190000</v>
      </c>
      <c r="K20" s="85">
        <v>2060000</v>
      </c>
      <c r="L20" s="85">
        <v>2260000</v>
      </c>
      <c r="M20" s="85">
        <v>2150000</v>
      </c>
      <c r="N20" s="85">
        <v>2250000</v>
      </c>
      <c r="O20" s="240">
        <f>C20+D20+E20+F20+G20+H20+I20+J20+K20+L20+M20+N20</f>
        <v>23760000</v>
      </c>
    </row>
    <row r="21" spans="1:15" x14ac:dyDescent="0.3">
      <c r="A21" s="61">
        <v>18</v>
      </c>
      <c r="B21" s="90" t="s">
        <v>140</v>
      </c>
      <c r="C21" s="85">
        <v>1240000</v>
      </c>
      <c r="D21" s="85">
        <v>1050000</v>
      </c>
      <c r="E21" s="85">
        <v>990000</v>
      </c>
      <c r="F21" s="85">
        <v>1425000</v>
      </c>
      <c r="G21" s="85">
        <v>1420000</v>
      </c>
      <c r="H21" s="85">
        <v>1430000</v>
      </c>
      <c r="I21" s="85">
        <v>1550000</v>
      </c>
      <c r="J21" s="85">
        <v>1600000</v>
      </c>
      <c r="K21" s="85">
        <v>1470000</v>
      </c>
      <c r="L21" s="85">
        <v>1700000</v>
      </c>
      <c r="M21" s="85">
        <v>1640000</v>
      </c>
      <c r="N21" s="85">
        <v>1630000</v>
      </c>
      <c r="O21" s="240">
        <f>C21+D21+E21+F21+G21+H21+I21+J21+K21+L21+M21+N21</f>
        <v>17145000</v>
      </c>
    </row>
    <row r="22" spans="1:15" x14ac:dyDescent="0.3">
      <c r="A22" s="239">
        <v>19</v>
      </c>
      <c r="B22" s="89" t="s">
        <v>141</v>
      </c>
      <c r="C22" s="85">
        <v>1900000</v>
      </c>
      <c r="D22" s="85">
        <v>1540000</v>
      </c>
      <c r="E22" s="85">
        <v>1450000</v>
      </c>
      <c r="F22" s="85">
        <v>1900000</v>
      </c>
      <c r="G22" s="85">
        <v>2160000</v>
      </c>
      <c r="H22" s="85">
        <v>2000000</v>
      </c>
      <c r="I22" s="85">
        <v>2000000</v>
      </c>
      <c r="J22" s="85">
        <v>2020000</v>
      </c>
      <c r="K22" s="85">
        <v>2150000</v>
      </c>
      <c r="L22" s="85">
        <v>2220000</v>
      </c>
      <c r="M22" s="85">
        <v>1970000</v>
      </c>
      <c r="N22" s="85">
        <v>2050000</v>
      </c>
      <c r="O22" s="240">
        <f>C22+D22+E22+F22+G22+H22+I22+J22+K22+L22+M22+N22</f>
        <v>23360000</v>
      </c>
    </row>
    <row r="23" spans="1:15" x14ac:dyDescent="0.3">
      <c r="A23" s="61">
        <v>20</v>
      </c>
      <c r="B23" s="90" t="s">
        <v>150</v>
      </c>
      <c r="C23" s="85">
        <v>2700000</v>
      </c>
      <c r="D23" s="85">
        <v>2120000</v>
      </c>
      <c r="E23" s="85">
        <v>2020000</v>
      </c>
      <c r="F23" s="85">
        <v>2930000</v>
      </c>
      <c r="G23" s="85">
        <v>3360000</v>
      </c>
      <c r="H23" s="85">
        <v>3180000</v>
      </c>
      <c r="I23" s="85">
        <v>3770000</v>
      </c>
      <c r="J23" s="85">
        <v>3890000</v>
      </c>
      <c r="K23" s="85">
        <v>3760000</v>
      </c>
      <c r="L23" s="85">
        <v>3620000</v>
      </c>
      <c r="M23" s="85">
        <v>3350000</v>
      </c>
      <c r="N23" s="85">
        <v>3775000</v>
      </c>
      <c r="O23" s="240">
        <f>C23+D23+E23+F23+G23+H23+I23+J23+K23+L23+M23+N23</f>
        <v>38475000</v>
      </c>
    </row>
    <row r="24" spans="1:15" x14ac:dyDescent="0.3">
      <c r="A24" s="239">
        <v>21</v>
      </c>
      <c r="B24" s="89" t="s">
        <v>151</v>
      </c>
      <c r="C24" s="85">
        <v>3230000</v>
      </c>
      <c r="D24" s="85">
        <v>2750000</v>
      </c>
      <c r="E24" s="85">
        <v>2850000</v>
      </c>
      <c r="F24" s="85">
        <v>3550000</v>
      </c>
      <c r="G24" s="85">
        <v>4240000</v>
      </c>
      <c r="H24" s="85">
        <v>4460000</v>
      </c>
      <c r="I24" s="85">
        <v>4860000</v>
      </c>
      <c r="J24" s="85">
        <v>4950000</v>
      </c>
      <c r="K24" s="85">
        <v>4800000</v>
      </c>
      <c r="L24" s="85">
        <v>5160000</v>
      </c>
      <c r="M24" s="85">
        <v>4780000</v>
      </c>
      <c r="N24" s="85">
        <v>4620000</v>
      </c>
      <c r="O24" s="240">
        <f>C24+D24+E24+F24+G24+H24+I24+J24+K24+L24+M24+N24</f>
        <v>50250000</v>
      </c>
    </row>
    <row r="25" spans="1:15" x14ac:dyDescent="0.3">
      <c r="A25" s="61">
        <v>22</v>
      </c>
      <c r="B25" s="106" t="s">
        <v>230</v>
      </c>
      <c r="C25" s="85">
        <v>1100000</v>
      </c>
      <c r="D25" s="85">
        <v>950000</v>
      </c>
      <c r="E25" s="85">
        <v>1100000</v>
      </c>
      <c r="F25" s="85">
        <v>1200000</v>
      </c>
      <c r="G25" s="85">
        <v>1300000</v>
      </c>
      <c r="H25" s="85">
        <v>1350000</v>
      </c>
      <c r="I25" s="85">
        <v>1415000</v>
      </c>
      <c r="J25" s="85">
        <v>1500000</v>
      </c>
      <c r="K25" s="85">
        <v>1500000</v>
      </c>
      <c r="L25" s="85">
        <v>1600000</v>
      </c>
      <c r="M25" s="85">
        <v>1500000</v>
      </c>
      <c r="N25" s="85">
        <v>1550000</v>
      </c>
      <c r="O25" s="240">
        <f>C25+D25+E25+F25+G25+H25+I25+J25+K25+L25+M25+N25</f>
        <v>16065000</v>
      </c>
    </row>
    <row r="26" spans="1:15" ht="15.75" customHeight="1" x14ac:dyDescent="0.3">
      <c r="A26" s="239">
        <v>23</v>
      </c>
      <c r="B26" s="89" t="s">
        <v>79</v>
      </c>
      <c r="C26" s="85">
        <v>1900000</v>
      </c>
      <c r="D26" s="85">
        <v>1570000</v>
      </c>
      <c r="E26" s="85">
        <v>1280000</v>
      </c>
      <c r="F26" s="85">
        <v>1920000</v>
      </c>
      <c r="G26" s="85">
        <v>2240000</v>
      </c>
      <c r="H26" s="85">
        <v>2230000</v>
      </c>
      <c r="I26" s="85">
        <v>2440000</v>
      </c>
      <c r="J26" s="85">
        <v>2430000</v>
      </c>
      <c r="K26" s="85">
        <v>2325000</v>
      </c>
      <c r="L26" s="85">
        <v>2440000</v>
      </c>
      <c r="M26" s="85">
        <v>2250000</v>
      </c>
      <c r="N26" s="85">
        <v>2050000</v>
      </c>
      <c r="O26" s="240">
        <f>C26+D26+E26+F26+G26+H26+I26+J26+K26+L26+M26+N26</f>
        <v>25075000</v>
      </c>
    </row>
    <row r="27" spans="1:15" x14ac:dyDescent="0.3">
      <c r="A27" s="61">
        <v>24</v>
      </c>
      <c r="B27" s="90" t="s">
        <v>16</v>
      </c>
      <c r="C27" s="85">
        <v>400000</v>
      </c>
      <c r="D27" s="85">
        <v>300000</v>
      </c>
      <c r="E27" s="85">
        <v>280000</v>
      </c>
      <c r="F27" s="85">
        <v>330000</v>
      </c>
      <c r="G27" s="85">
        <v>350000</v>
      </c>
      <c r="H27" s="85">
        <v>350000</v>
      </c>
      <c r="I27" s="85">
        <v>400000</v>
      </c>
      <c r="J27" s="85">
        <v>460000</v>
      </c>
      <c r="K27" s="85">
        <v>490000</v>
      </c>
      <c r="L27" s="85">
        <v>560000</v>
      </c>
      <c r="M27" s="85">
        <v>580000</v>
      </c>
      <c r="N27" s="85">
        <v>800000</v>
      </c>
      <c r="O27" s="240">
        <f>C27+D27+E27+F27+G27+H27+I27+J27+K27+L27+M27+N27</f>
        <v>5300000</v>
      </c>
    </row>
    <row r="28" spans="1:15" x14ac:dyDescent="0.3">
      <c r="A28" s="239">
        <v>25</v>
      </c>
      <c r="B28" s="89" t="s">
        <v>71</v>
      </c>
      <c r="C28" s="85">
        <v>1340000</v>
      </c>
      <c r="D28" s="85">
        <v>1150000</v>
      </c>
      <c r="E28" s="85">
        <v>1000000</v>
      </c>
      <c r="F28" s="85">
        <v>1400000</v>
      </c>
      <c r="G28" s="85">
        <v>1690000</v>
      </c>
      <c r="H28" s="85">
        <v>1640000</v>
      </c>
      <c r="I28" s="85">
        <v>1500000</v>
      </c>
      <c r="J28" s="85">
        <v>2150000</v>
      </c>
      <c r="K28" s="85">
        <v>2580000</v>
      </c>
      <c r="L28" s="85">
        <v>3600000</v>
      </c>
      <c r="M28" s="85">
        <v>4800000</v>
      </c>
      <c r="N28" s="85">
        <v>4900000</v>
      </c>
      <c r="O28" s="240">
        <f>C28+D28+E28+F28+G28+H28+I28+J28+K28+L28+M28+N28</f>
        <v>27750000</v>
      </c>
    </row>
    <row r="29" spans="1:15" x14ac:dyDescent="0.3">
      <c r="A29" s="61">
        <v>26</v>
      </c>
      <c r="B29" s="90" t="s">
        <v>74</v>
      </c>
      <c r="C29" s="85">
        <v>800000</v>
      </c>
      <c r="D29" s="85">
        <v>700000</v>
      </c>
      <c r="E29" s="85">
        <v>620000</v>
      </c>
      <c r="F29" s="85">
        <v>900000</v>
      </c>
      <c r="G29" s="85">
        <v>900000</v>
      </c>
      <c r="H29" s="85">
        <v>850000</v>
      </c>
      <c r="I29" s="85">
        <v>800000</v>
      </c>
      <c r="J29" s="85">
        <v>950000</v>
      </c>
      <c r="K29" s="85">
        <v>850000</v>
      </c>
      <c r="L29" s="85">
        <v>820000</v>
      </c>
      <c r="M29" s="85">
        <v>780000</v>
      </c>
      <c r="N29" s="85">
        <v>800000</v>
      </c>
      <c r="O29" s="240">
        <f>C29+D29+E29+F29+G29+H29+I29+J29+K29+L29+M29+N29</f>
        <v>9770000</v>
      </c>
    </row>
    <row r="30" spans="1:15" x14ac:dyDescent="0.3">
      <c r="A30" s="239">
        <v>27</v>
      </c>
      <c r="B30" s="89" t="s">
        <v>72</v>
      </c>
      <c r="C30" s="85">
        <v>1900000</v>
      </c>
      <c r="D30" s="85">
        <v>1680000</v>
      </c>
      <c r="E30" s="85">
        <v>1980000</v>
      </c>
      <c r="F30" s="85">
        <v>2085000</v>
      </c>
      <c r="G30" s="85">
        <v>2180000</v>
      </c>
      <c r="H30" s="85">
        <v>2260000</v>
      </c>
      <c r="I30" s="85">
        <v>2430000</v>
      </c>
      <c r="J30" s="85">
        <v>2380000</v>
      </c>
      <c r="K30" s="85">
        <v>2200000</v>
      </c>
      <c r="L30" s="85">
        <v>2240000</v>
      </c>
      <c r="M30" s="85">
        <v>2140000</v>
      </c>
      <c r="N30" s="85">
        <v>2300000</v>
      </c>
      <c r="O30" s="240">
        <f>C30+D30+E30+F30+G30+H30+I30+J30+K30+L30+M30+N30</f>
        <v>25775000</v>
      </c>
    </row>
    <row r="31" spans="1:15" x14ac:dyDescent="0.3">
      <c r="A31" s="61">
        <v>28</v>
      </c>
      <c r="B31" s="90" t="s">
        <v>73</v>
      </c>
      <c r="C31" s="85">
        <v>1250000</v>
      </c>
      <c r="D31" s="85">
        <v>1000000</v>
      </c>
      <c r="E31" s="85">
        <v>1250000</v>
      </c>
      <c r="F31" s="85">
        <v>1370000</v>
      </c>
      <c r="G31" s="85">
        <v>1430000</v>
      </c>
      <c r="H31" s="85">
        <v>1520000</v>
      </c>
      <c r="I31" s="85">
        <v>1600000</v>
      </c>
      <c r="J31" s="85">
        <v>1600000</v>
      </c>
      <c r="K31" s="85">
        <v>1620000</v>
      </c>
      <c r="L31" s="85">
        <v>1560000</v>
      </c>
      <c r="M31" s="85">
        <v>1460000</v>
      </c>
      <c r="N31" s="85">
        <v>1400000</v>
      </c>
      <c r="O31" s="240">
        <f>C31+D31+E31+F31+G31+H31+I31+J31+K31+L31+M31+N31</f>
        <v>17060000</v>
      </c>
    </row>
    <row r="32" spans="1:15" x14ac:dyDescent="0.3">
      <c r="A32" s="239">
        <v>29</v>
      </c>
      <c r="B32" s="102" t="s">
        <v>227</v>
      </c>
      <c r="C32" s="85">
        <v>860000</v>
      </c>
      <c r="D32" s="85">
        <v>700000</v>
      </c>
      <c r="E32" s="85">
        <v>620000</v>
      </c>
      <c r="F32" s="85">
        <v>740000</v>
      </c>
      <c r="G32" s="85">
        <v>800000</v>
      </c>
      <c r="H32" s="85">
        <v>785000</v>
      </c>
      <c r="I32" s="85">
        <v>730000</v>
      </c>
      <c r="J32" s="85">
        <v>710000</v>
      </c>
      <c r="K32" s="85">
        <v>790000</v>
      </c>
      <c r="L32" s="85">
        <v>910000</v>
      </c>
      <c r="M32" s="85">
        <v>885000</v>
      </c>
      <c r="N32" s="85">
        <v>900000</v>
      </c>
      <c r="O32" s="240">
        <f>C32+D32+E32+F32+G32+H32+I32+J32+K32+L32+M32+N32</f>
        <v>9430000</v>
      </c>
    </row>
    <row r="33" spans="1:15" x14ac:dyDescent="0.3">
      <c r="A33" s="61">
        <v>30</v>
      </c>
      <c r="B33" s="90" t="s">
        <v>75</v>
      </c>
      <c r="C33" s="85">
        <v>900000</v>
      </c>
      <c r="D33" s="85">
        <v>760000</v>
      </c>
      <c r="E33" s="85">
        <v>900000</v>
      </c>
      <c r="F33" s="85">
        <v>870000</v>
      </c>
      <c r="G33" s="85">
        <v>1030000</v>
      </c>
      <c r="H33" s="85">
        <v>920000</v>
      </c>
      <c r="I33" s="85">
        <v>970000</v>
      </c>
      <c r="J33" s="85">
        <v>940000</v>
      </c>
      <c r="K33" s="85">
        <v>1040000</v>
      </c>
      <c r="L33" s="85">
        <v>1070000</v>
      </c>
      <c r="M33" s="85">
        <v>960000</v>
      </c>
      <c r="N33" s="85">
        <v>1060000</v>
      </c>
      <c r="O33" s="240">
        <f>C33+D33+E33+F33+G33+H33+I33+J33+K33+L33+M33+N33</f>
        <v>11420000</v>
      </c>
    </row>
    <row r="34" spans="1:15" x14ac:dyDescent="0.3">
      <c r="A34" s="239">
        <v>31</v>
      </c>
      <c r="B34" s="89" t="s">
        <v>111</v>
      </c>
      <c r="C34" s="85">
        <v>1230000</v>
      </c>
      <c r="D34" s="85">
        <v>1100000</v>
      </c>
      <c r="E34" s="85">
        <v>1250000</v>
      </c>
      <c r="F34" s="85">
        <v>1400000</v>
      </c>
      <c r="G34" s="85">
        <v>1580000</v>
      </c>
      <c r="H34" s="85">
        <v>1570000</v>
      </c>
      <c r="I34" s="85">
        <v>1725000</v>
      </c>
      <c r="J34" s="85">
        <v>1700000</v>
      </c>
      <c r="K34" s="85">
        <v>1600000</v>
      </c>
      <c r="L34" s="85">
        <v>1600000</v>
      </c>
      <c r="M34" s="85">
        <v>1450000</v>
      </c>
      <c r="N34" s="85">
        <v>1650000</v>
      </c>
      <c r="O34" s="240">
        <f>C34+D34+E34+F34+G34+H34+I34+J34+K34+L34+M34+N34</f>
        <v>17855000</v>
      </c>
    </row>
    <row r="35" spans="1:15" x14ac:dyDescent="0.3">
      <c r="A35" s="61">
        <v>32</v>
      </c>
      <c r="B35" s="90" t="s">
        <v>149</v>
      </c>
      <c r="C35" s="85">
        <v>1470000</v>
      </c>
      <c r="D35" s="85">
        <v>1100000</v>
      </c>
      <c r="E35" s="85">
        <v>1185000</v>
      </c>
      <c r="F35" s="85">
        <v>1450000</v>
      </c>
      <c r="G35" s="85">
        <v>1540000</v>
      </c>
      <c r="H35" s="85">
        <v>1500000</v>
      </c>
      <c r="I35" s="85">
        <v>1600000</v>
      </c>
      <c r="J35" s="85">
        <v>1650000</v>
      </c>
      <c r="K35" s="85">
        <v>1620000</v>
      </c>
      <c r="L35" s="85">
        <v>1680000</v>
      </c>
      <c r="M35" s="85">
        <v>1550000</v>
      </c>
      <c r="N35" s="85">
        <v>1525000</v>
      </c>
      <c r="O35" s="240">
        <f>C35+D35+E35+F35+G35+H35+I35+J35+K35+L35+M35+N35</f>
        <v>17870000</v>
      </c>
    </row>
    <row r="36" spans="1:15" x14ac:dyDescent="0.3">
      <c r="A36" s="239">
        <v>33</v>
      </c>
      <c r="B36" s="89" t="s">
        <v>80</v>
      </c>
      <c r="C36" s="85">
        <v>680000</v>
      </c>
      <c r="D36" s="85">
        <v>600000</v>
      </c>
      <c r="E36" s="85">
        <v>685000</v>
      </c>
      <c r="F36" s="85">
        <v>700000</v>
      </c>
      <c r="G36" s="85">
        <v>760000</v>
      </c>
      <c r="H36" s="85">
        <v>760000</v>
      </c>
      <c r="I36" s="85">
        <v>730000</v>
      </c>
      <c r="J36" s="85">
        <v>770000</v>
      </c>
      <c r="K36" s="85">
        <v>730000</v>
      </c>
      <c r="L36" s="85">
        <v>820000</v>
      </c>
      <c r="M36" s="85">
        <v>790000</v>
      </c>
      <c r="N36" s="85">
        <v>760000</v>
      </c>
      <c r="O36" s="240">
        <f>C36+D36+E36+F36+G36+H36+I36+J36+K36+L36+M36+N36</f>
        <v>8785000</v>
      </c>
    </row>
    <row r="37" spans="1:15" x14ac:dyDescent="0.3">
      <c r="A37" s="61">
        <v>34</v>
      </c>
      <c r="B37" s="90" t="s">
        <v>81</v>
      </c>
      <c r="C37" s="85">
        <v>860000</v>
      </c>
      <c r="D37" s="85">
        <v>740000</v>
      </c>
      <c r="E37" s="85">
        <v>770000</v>
      </c>
      <c r="F37" s="85">
        <v>900000</v>
      </c>
      <c r="G37" s="85">
        <v>860000</v>
      </c>
      <c r="H37" s="85">
        <v>910000</v>
      </c>
      <c r="I37" s="85">
        <v>780000</v>
      </c>
      <c r="J37" s="85">
        <v>830000</v>
      </c>
      <c r="K37" s="85">
        <v>900000</v>
      </c>
      <c r="L37" s="85">
        <v>1000000</v>
      </c>
      <c r="M37" s="85">
        <v>930000</v>
      </c>
      <c r="N37" s="85">
        <v>1000000</v>
      </c>
      <c r="O37" s="240">
        <f>C37+D37+E37+F37+G37+H37+I37+J37+K37+L37+M37+N37</f>
        <v>10480000</v>
      </c>
    </row>
    <row r="38" spans="1:15" x14ac:dyDescent="0.3">
      <c r="A38" s="239">
        <v>35</v>
      </c>
      <c r="B38" s="89" t="s">
        <v>82</v>
      </c>
      <c r="C38" s="85">
        <v>990000</v>
      </c>
      <c r="D38" s="85">
        <v>800000</v>
      </c>
      <c r="E38" s="85">
        <v>760000</v>
      </c>
      <c r="F38" s="85">
        <v>880000</v>
      </c>
      <c r="G38" s="85">
        <v>1000000</v>
      </c>
      <c r="H38" s="85">
        <v>1160000</v>
      </c>
      <c r="I38" s="85">
        <v>1190000</v>
      </c>
      <c r="J38" s="85">
        <v>1100000</v>
      </c>
      <c r="K38" s="85">
        <v>1140000</v>
      </c>
      <c r="L38" s="85">
        <v>1150000</v>
      </c>
      <c r="M38" s="85">
        <v>1020000</v>
      </c>
      <c r="N38" s="85">
        <v>1060000</v>
      </c>
      <c r="O38" s="240">
        <f>C38+D38+E38+F38+G38+H38+I38+J38+K38+L38+M38+N38</f>
        <v>12250000</v>
      </c>
    </row>
    <row r="39" spans="1:15" x14ac:dyDescent="0.3">
      <c r="A39" s="61">
        <v>36</v>
      </c>
      <c r="B39" s="90" t="s">
        <v>83</v>
      </c>
      <c r="C39" s="85">
        <v>600000</v>
      </c>
      <c r="D39" s="85">
        <v>485000</v>
      </c>
      <c r="E39" s="85">
        <v>500000</v>
      </c>
      <c r="F39" s="85">
        <v>700000</v>
      </c>
      <c r="G39" s="85">
        <v>650000</v>
      </c>
      <c r="H39" s="85">
        <v>690000</v>
      </c>
      <c r="I39" s="85">
        <v>730000</v>
      </c>
      <c r="J39" s="85">
        <v>680000</v>
      </c>
      <c r="K39" s="85">
        <v>640000</v>
      </c>
      <c r="L39" s="85">
        <v>720000</v>
      </c>
      <c r="M39" s="85">
        <v>630000</v>
      </c>
      <c r="N39" s="85">
        <v>600000</v>
      </c>
      <c r="O39" s="240">
        <f>C39+D39+E39+F39+G39+H39+I39+J39+K39+L39+M39+N39</f>
        <v>7625000</v>
      </c>
    </row>
    <row r="40" spans="1:15" x14ac:dyDescent="0.3">
      <c r="A40" s="239">
        <v>37</v>
      </c>
      <c r="B40" s="89" t="s">
        <v>84</v>
      </c>
      <c r="C40" s="85">
        <v>600000</v>
      </c>
      <c r="D40" s="85">
        <v>450000</v>
      </c>
      <c r="E40" s="85">
        <v>530000</v>
      </c>
      <c r="F40" s="85">
        <v>450000</v>
      </c>
      <c r="G40" s="85">
        <v>670000</v>
      </c>
      <c r="H40" s="85">
        <v>630000</v>
      </c>
      <c r="I40" s="85">
        <v>590000</v>
      </c>
      <c r="J40" s="85">
        <v>570000</v>
      </c>
      <c r="K40" s="85">
        <v>600000</v>
      </c>
      <c r="L40" s="85">
        <v>590000</v>
      </c>
      <c r="M40" s="85">
        <v>500000</v>
      </c>
      <c r="N40" s="85">
        <v>620000</v>
      </c>
      <c r="O40" s="240">
        <f>C40+D40+E40+F40+G40+H40+I40+J40+K40+L40+M40+N40</f>
        <v>6800000</v>
      </c>
    </row>
    <row r="41" spans="1:15" x14ac:dyDescent="0.3">
      <c r="A41" s="61">
        <v>38</v>
      </c>
      <c r="B41" s="90" t="s">
        <v>113</v>
      </c>
      <c r="C41" s="85">
        <v>765000</v>
      </c>
      <c r="D41" s="85">
        <v>630000</v>
      </c>
      <c r="E41" s="85">
        <v>520000</v>
      </c>
      <c r="F41" s="85">
        <v>730000</v>
      </c>
      <c r="G41" s="85">
        <v>800000</v>
      </c>
      <c r="H41" s="85">
        <v>900000</v>
      </c>
      <c r="I41" s="85">
        <v>930000</v>
      </c>
      <c r="J41" s="85">
        <v>930000</v>
      </c>
      <c r="K41" s="85">
        <v>940000</v>
      </c>
      <c r="L41" s="85">
        <v>1040000</v>
      </c>
      <c r="M41" s="85">
        <v>950000</v>
      </c>
      <c r="N41" s="85">
        <v>940000</v>
      </c>
      <c r="O41" s="240">
        <f>C41+D41+E41+F41+G41+H41+I41+J41+K41+L41+M41+N41</f>
        <v>10075000</v>
      </c>
    </row>
    <row r="42" spans="1:15" x14ac:dyDescent="0.3">
      <c r="A42" s="239">
        <v>39</v>
      </c>
      <c r="B42" s="89" t="s">
        <v>118</v>
      </c>
      <c r="C42" s="85">
        <v>760000</v>
      </c>
      <c r="D42" s="85">
        <v>700000</v>
      </c>
      <c r="E42" s="85">
        <v>740000</v>
      </c>
      <c r="F42" s="85">
        <v>880000</v>
      </c>
      <c r="G42" s="85">
        <v>850000</v>
      </c>
      <c r="H42" s="85">
        <v>820000</v>
      </c>
      <c r="I42" s="85">
        <v>760000</v>
      </c>
      <c r="J42" s="85">
        <v>840000</v>
      </c>
      <c r="K42" s="85">
        <v>880000</v>
      </c>
      <c r="L42" s="85">
        <v>1060000</v>
      </c>
      <c r="M42" s="85">
        <v>950000</v>
      </c>
      <c r="N42" s="85">
        <v>1080000</v>
      </c>
      <c r="O42" s="240">
        <f>C42+D42+E42+F42+G42+H42+I42+J42+K42+L42+M42+N42</f>
        <v>10320000</v>
      </c>
    </row>
    <row r="43" spans="1:15" x14ac:dyDescent="0.3">
      <c r="A43" s="61">
        <v>40</v>
      </c>
      <c r="B43" s="90" t="s">
        <v>114</v>
      </c>
      <c r="C43" s="85">
        <v>1900000</v>
      </c>
      <c r="D43" s="85">
        <v>1500000</v>
      </c>
      <c r="E43" s="85">
        <v>1200000</v>
      </c>
      <c r="F43" s="85">
        <v>1550000</v>
      </c>
      <c r="G43" s="85">
        <v>1650000</v>
      </c>
      <c r="H43" s="85">
        <v>2200000</v>
      </c>
      <c r="I43" s="85">
        <v>2390000</v>
      </c>
      <c r="J43" s="85">
        <v>2950000</v>
      </c>
      <c r="K43" s="85">
        <v>3100000</v>
      </c>
      <c r="L43" s="85">
        <v>3200000</v>
      </c>
      <c r="M43" s="85">
        <v>2900000</v>
      </c>
      <c r="N43" s="85">
        <v>2170000</v>
      </c>
      <c r="O43" s="240">
        <f>C43+D43+E43+F43+G43+H43+I43+J43+K43+L43+M43+N43</f>
        <v>26710000</v>
      </c>
    </row>
    <row r="44" spans="1:15" x14ac:dyDescent="0.3">
      <c r="A44" s="239">
        <v>41</v>
      </c>
      <c r="B44" s="89" t="s">
        <v>115</v>
      </c>
      <c r="C44" s="85">
        <v>1240000</v>
      </c>
      <c r="D44" s="85">
        <v>1000000</v>
      </c>
      <c r="E44" s="85">
        <v>950000</v>
      </c>
      <c r="F44" s="85">
        <v>1190000</v>
      </c>
      <c r="G44" s="85">
        <v>1350000</v>
      </c>
      <c r="H44" s="85">
        <v>1290000</v>
      </c>
      <c r="I44" s="85">
        <v>1400000</v>
      </c>
      <c r="J44" s="85">
        <v>1380000</v>
      </c>
      <c r="K44" s="85">
        <v>1260000</v>
      </c>
      <c r="L44" s="85">
        <v>1325000</v>
      </c>
      <c r="M44" s="85">
        <v>1160000</v>
      </c>
      <c r="N44" s="85">
        <v>1270000</v>
      </c>
      <c r="O44" s="240">
        <f>C44+D44+E44+F44+G44+H44+I44+J44+K44+L44+M44+N44</f>
        <v>14815000</v>
      </c>
    </row>
    <row r="45" spans="1:15" x14ac:dyDescent="0.3">
      <c r="A45" s="61">
        <v>42</v>
      </c>
      <c r="B45" s="90" t="s">
        <v>116</v>
      </c>
      <c r="C45" s="85">
        <v>900000</v>
      </c>
      <c r="D45" s="85">
        <v>700000</v>
      </c>
      <c r="E45" s="85">
        <v>800000</v>
      </c>
      <c r="F45" s="85">
        <v>940000</v>
      </c>
      <c r="G45" s="85">
        <v>1040000</v>
      </c>
      <c r="H45" s="85">
        <v>1130000</v>
      </c>
      <c r="I45" s="85">
        <v>1200000</v>
      </c>
      <c r="J45" s="85">
        <v>1190000</v>
      </c>
      <c r="K45" s="85">
        <v>1160000</v>
      </c>
      <c r="L45" s="85">
        <v>1150000</v>
      </c>
      <c r="M45" s="85">
        <v>1100000</v>
      </c>
      <c r="N45" s="85">
        <v>1070000</v>
      </c>
      <c r="O45" s="240">
        <f>C45+D45+E45+F45+G45+H45+I45+J45+K45+L45+M45+N45</f>
        <v>12380000</v>
      </c>
    </row>
    <row r="46" spans="1:15" x14ac:dyDescent="0.3">
      <c r="A46" s="239">
        <v>43</v>
      </c>
      <c r="B46" s="89" t="s">
        <v>121</v>
      </c>
      <c r="C46" s="85">
        <v>470000</v>
      </c>
      <c r="D46" s="85">
        <v>400000</v>
      </c>
      <c r="E46" s="85">
        <v>430000</v>
      </c>
      <c r="F46" s="85">
        <v>530000</v>
      </c>
      <c r="G46" s="85">
        <v>580000</v>
      </c>
      <c r="H46" s="85">
        <v>730000</v>
      </c>
      <c r="I46" s="85">
        <v>750000</v>
      </c>
      <c r="J46" s="85">
        <v>730000</v>
      </c>
      <c r="K46" s="85">
        <v>760000</v>
      </c>
      <c r="L46" s="85">
        <v>840000</v>
      </c>
      <c r="M46" s="85">
        <v>820000</v>
      </c>
      <c r="N46" s="85">
        <v>780000</v>
      </c>
      <c r="O46" s="240">
        <f>C46+D46+E46+F46+G46+H46+I46+J46+K46+L46+M46+N46</f>
        <v>7820000</v>
      </c>
    </row>
    <row r="47" spans="1:15" x14ac:dyDescent="0.3">
      <c r="A47" s="61">
        <v>44</v>
      </c>
      <c r="B47" s="106" t="s">
        <v>254</v>
      </c>
      <c r="C47" s="85">
        <v>1000000</v>
      </c>
      <c r="D47" s="85">
        <v>850000</v>
      </c>
      <c r="E47" s="85">
        <v>950000</v>
      </c>
      <c r="F47" s="85">
        <v>1250000</v>
      </c>
      <c r="G47" s="85">
        <v>1300000</v>
      </c>
      <c r="H47" s="85">
        <v>1400000</v>
      </c>
      <c r="I47" s="85">
        <v>1450000</v>
      </c>
      <c r="J47" s="85">
        <v>1550000</v>
      </c>
      <c r="K47" s="85">
        <v>1550000</v>
      </c>
      <c r="L47" s="85">
        <v>1650000</v>
      </c>
      <c r="M47" s="85">
        <v>1530000</v>
      </c>
      <c r="N47" s="85">
        <v>1585000</v>
      </c>
      <c r="O47" s="240">
        <f>C47+D47+E47+F47+G47+H47+I47+J47+K47+L47+M47+N47</f>
        <v>16065000</v>
      </c>
    </row>
    <row r="48" spans="1:15" x14ac:dyDescent="0.3">
      <c r="A48" s="239">
        <v>45</v>
      </c>
      <c r="B48" s="89" t="s">
        <v>13</v>
      </c>
      <c r="C48" s="85">
        <v>1830000</v>
      </c>
      <c r="D48" s="85">
        <v>1500000</v>
      </c>
      <c r="E48" s="85">
        <v>1620000</v>
      </c>
      <c r="F48" s="85">
        <v>1800000</v>
      </c>
      <c r="G48" s="85">
        <v>2050000</v>
      </c>
      <c r="H48" s="85">
        <v>2100000</v>
      </c>
      <c r="I48" s="85">
        <v>2040000</v>
      </c>
      <c r="J48" s="85">
        <v>1860000</v>
      </c>
      <c r="K48" s="85">
        <v>1940000</v>
      </c>
      <c r="L48" s="85">
        <v>1950000</v>
      </c>
      <c r="M48" s="85">
        <v>1770000</v>
      </c>
      <c r="N48" s="85">
        <v>1680000</v>
      </c>
      <c r="O48" s="240">
        <f>C48+D48+E48+F48+G48+H48+I48+J48+K48+L48+M48+N48</f>
        <v>22140000</v>
      </c>
    </row>
    <row r="49" spans="1:15" x14ac:dyDescent="0.3">
      <c r="A49" s="61">
        <v>46</v>
      </c>
      <c r="B49" s="90" t="s">
        <v>14</v>
      </c>
      <c r="C49" s="85">
        <v>700000</v>
      </c>
      <c r="D49" s="85">
        <v>620000</v>
      </c>
      <c r="E49" s="85">
        <v>740000</v>
      </c>
      <c r="F49" s="85">
        <v>785000</v>
      </c>
      <c r="G49" s="85">
        <v>890000</v>
      </c>
      <c r="H49" s="85">
        <v>940000</v>
      </c>
      <c r="I49" s="85">
        <v>900000</v>
      </c>
      <c r="J49" s="85">
        <v>845000</v>
      </c>
      <c r="K49" s="85">
        <v>960000</v>
      </c>
      <c r="L49" s="85">
        <v>880000</v>
      </c>
      <c r="M49" s="85">
        <v>860000</v>
      </c>
      <c r="N49" s="85">
        <v>820000</v>
      </c>
      <c r="O49" s="240">
        <f>C49+D49+E49+F49+G49+H49+I49+J49+K49+L49+M49+N49</f>
        <v>9940000</v>
      </c>
    </row>
    <row r="50" spans="1:15" x14ac:dyDescent="0.3">
      <c r="A50" s="239">
        <v>47</v>
      </c>
      <c r="B50" s="89" t="s">
        <v>15</v>
      </c>
      <c r="C50" s="85">
        <v>930000</v>
      </c>
      <c r="D50" s="85">
        <v>620000</v>
      </c>
      <c r="E50" s="85">
        <v>850000</v>
      </c>
      <c r="F50" s="85">
        <v>880000</v>
      </c>
      <c r="G50" s="85">
        <v>900000</v>
      </c>
      <c r="H50" s="85">
        <v>900000</v>
      </c>
      <c r="I50" s="85">
        <v>990000</v>
      </c>
      <c r="J50" s="85">
        <v>790000</v>
      </c>
      <c r="K50" s="85">
        <v>750000</v>
      </c>
      <c r="L50" s="85">
        <v>680000</v>
      </c>
      <c r="M50" s="85">
        <v>720000</v>
      </c>
      <c r="N50" s="85">
        <v>640000</v>
      </c>
      <c r="O50" s="240">
        <f>C50+D50+E50+F50+G50+H50+I50+J50+K50+L50+M50+N50</f>
        <v>9650000</v>
      </c>
    </row>
    <row r="51" spans="1:15" x14ac:dyDescent="0.3">
      <c r="A51" s="61">
        <v>48</v>
      </c>
      <c r="B51" s="106" t="s">
        <v>225</v>
      </c>
      <c r="C51" s="85">
        <v>550000</v>
      </c>
      <c r="D51" s="85">
        <v>450000</v>
      </c>
      <c r="E51" s="85">
        <v>490000</v>
      </c>
      <c r="F51" s="85">
        <v>600000</v>
      </c>
      <c r="G51" s="85">
        <v>600000</v>
      </c>
      <c r="H51" s="85">
        <v>640000</v>
      </c>
      <c r="I51" s="85">
        <v>650000</v>
      </c>
      <c r="J51" s="85">
        <v>960000</v>
      </c>
      <c r="K51" s="85">
        <v>900000</v>
      </c>
      <c r="L51" s="85">
        <v>900000</v>
      </c>
      <c r="M51" s="85">
        <v>720000</v>
      </c>
      <c r="N51" s="85">
        <v>780000</v>
      </c>
      <c r="O51" s="240">
        <f>C51+D51+E51+F51+G51+H51+I51+J51+K51+L51+M51+N51</f>
        <v>8240000</v>
      </c>
    </row>
    <row r="52" spans="1:15" x14ac:dyDescent="0.3">
      <c r="A52" s="239">
        <v>49</v>
      </c>
      <c r="B52" s="89" t="s">
        <v>86</v>
      </c>
      <c r="C52" s="85">
        <v>2100000</v>
      </c>
      <c r="D52" s="85">
        <v>1750000</v>
      </c>
      <c r="E52" s="85">
        <v>1600000</v>
      </c>
      <c r="F52" s="85">
        <v>2130000</v>
      </c>
      <c r="G52" s="85">
        <v>2500000</v>
      </c>
      <c r="H52" s="85">
        <v>2370000</v>
      </c>
      <c r="I52" s="85">
        <v>2430000</v>
      </c>
      <c r="J52" s="85">
        <v>2400000</v>
      </c>
      <c r="K52" s="85">
        <v>2380000</v>
      </c>
      <c r="L52" s="85">
        <v>2660000</v>
      </c>
      <c r="M52" s="85">
        <v>2400000</v>
      </c>
      <c r="N52" s="85">
        <v>2350000</v>
      </c>
      <c r="O52" s="240">
        <f>C52+D52+E52+F52+G52+H52+I52+J52+K52+L52+M52+N52</f>
        <v>27070000</v>
      </c>
    </row>
    <row r="53" spans="1:15" x14ac:dyDescent="0.3">
      <c r="A53" s="61">
        <v>50</v>
      </c>
      <c r="B53" s="90" t="s">
        <v>78</v>
      </c>
      <c r="C53" s="85">
        <v>120000</v>
      </c>
      <c r="D53" s="85">
        <v>175000</v>
      </c>
      <c r="E53" s="85">
        <v>140000</v>
      </c>
      <c r="F53" s="85">
        <v>370000</v>
      </c>
      <c r="G53" s="85">
        <v>190000</v>
      </c>
      <c r="H53" s="85">
        <v>60000</v>
      </c>
      <c r="I53" s="85">
        <v>50000</v>
      </c>
      <c r="J53" s="85">
        <v>60000</v>
      </c>
      <c r="K53" s="85">
        <v>200000</v>
      </c>
      <c r="L53" s="85">
        <v>700000</v>
      </c>
      <c r="M53" s="85">
        <v>600000</v>
      </c>
      <c r="N53" s="85">
        <v>460000</v>
      </c>
      <c r="O53" s="240">
        <f>C53+D53+E53+F53+G53+H53+I53+J53+K53+L53+M53+N53</f>
        <v>3125000</v>
      </c>
    </row>
    <row r="54" spans="1:15" x14ac:dyDescent="0.3">
      <c r="A54" s="239">
        <v>51</v>
      </c>
      <c r="B54" s="89" t="s">
        <v>61</v>
      </c>
      <c r="C54" s="85">
        <v>380000</v>
      </c>
      <c r="D54" s="85">
        <v>550000</v>
      </c>
      <c r="E54" s="85">
        <v>250000</v>
      </c>
      <c r="F54" s="85">
        <v>490000</v>
      </c>
      <c r="G54" s="85">
        <v>250000</v>
      </c>
      <c r="H54" s="85">
        <v>260000</v>
      </c>
      <c r="I54" s="85">
        <v>180000</v>
      </c>
      <c r="J54" s="85">
        <v>160000</v>
      </c>
      <c r="K54" s="85">
        <v>520000</v>
      </c>
      <c r="L54" s="85">
        <v>1300000</v>
      </c>
      <c r="M54" s="85">
        <v>1250000</v>
      </c>
      <c r="N54" s="85">
        <v>1160000</v>
      </c>
      <c r="O54" s="240">
        <f>C54+D54+E54+F54+G54+H54+I54+J54+K54+L54+M54+N54</f>
        <v>6750000</v>
      </c>
    </row>
    <row r="55" spans="1:15" ht="15.75" customHeight="1" x14ac:dyDescent="0.3">
      <c r="A55" s="61">
        <v>52</v>
      </c>
      <c r="B55" s="90" t="s">
        <v>112</v>
      </c>
      <c r="C55" s="85">
        <v>1150000</v>
      </c>
      <c r="D55" s="85">
        <v>950000</v>
      </c>
      <c r="E55" s="85">
        <v>540000</v>
      </c>
      <c r="F55" s="85">
        <v>1400000</v>
      </c>
      <c r="G55" s="85">
        <v>1420000</v>
      </c>
      <c r="H55" s="85">
        <v>1425000</v>
      </c>
      <c r="I55" s="85">
        <v>1570000</v>
      </c>
      <c r="J55" s="85">
        <v>1650000</v>
      </c>
      <c r="K55" s="85">
        <v>1720000</v>
      </c>
      <c r="L55" s="85">
        <v>1850000</v>
      </c>
      <c r="M55" s="85">
        <v>1500000</v>
      </c>
      <c r="N55" s="85">
        <v>1560000</v>
      </c>
      <c r="O55" s="240">
        <f>C55+D55+E55+F55+G55+H55+I55+J55+K55+L55+M55+N55</f>
        <v>16735000</v>
      </c>
    </row>
    <row r="56" spans="1:15" ht="15.75" customHeight="1" x14ac:dyDescent="0.3">
      <c r="A56" s="239">
        <v>53</v>
      </c>
      <c r="B56" s="102" t="s">
        <v>231</v>
      </c>
      <c r="C56" s="85">
        <v>320000</v>
      </c>
      <c r="D56" s="85">
        <v>220000</v>
      </c>
      <c r="E56" s="85">
        <v>150000</v>
      </c>
      <c r="F56" s="85">
        <v>350000</v>
      </c>
      <c r="G56" s="85">
        <v>370000</v>
      </c>
      <c r="H56" s="85">
        <v>400000</v>
      </c>
      <c r="I56" s="85">
        <v>450000</v>
      </c>
      <c r="J56" s="85">
        <v>500000</v>
      </c>
      <c r="K56" s="85">
        <v>500000</v>
      </c>
      <c r="L56" s="85">
        <v>570000</v>
      </c>
      <c r="M56" s="85">
        <v>500000</v>
      </c>
      <c r="N56" s="85">
        <v>530000</v>
      </c>
      <c r="O56" s="240">
        <f>C56+D56+E56+F56+G56+H56+I56+J56+K56+L56+M56+N56</f>
        <v>4860000</v>
      </c>
    </row>
    <row r="57" spans="1:15" x14ac:dyDescent="0.3">
      <c r="A57" s="61">
        <v>54</v>
      </c>
      <c r="B57" s="90" t="s">
        <v>142</v>
      </c>
      <c r="C57" s="85">
        <v>2160000</v>
      </c>
      <c r="D57" s="85">
        <v>1700000</v>
      </c>
      <c r="E57" s="85">
        <v>1600000</v>
      </c>
      <c r="F57" s="85">
        <v>2200000</v>
      </c>
      <c r="G57" s="85">
        <v>2700000</v>
      </c>
      <c r="H57" s="85">
        <v>2890000</v>
      </c>
      <c r="I57" s="85">
        <v>3800000</v>
      </c>
      <c r="J57" s="85">
        <v>3900000</v>
      </c>
      <c r="K57" s="85">
        <v>3070000</v>
      </c>
      <c r="L57" s="85">
        <v>2690000</v>
      </c>
      <c r="M57" s="85">
        <v>2720000</v>
      </c>
      <c r="N57" s="85">
        <v>2750000</v>
      </c>
      <c r="O57" s="240">
        <f>C57+D57+E57+F57+G57+H57+I57+J57+K57+L57+M57+N57</f>
        <v>32180000</v>
      </c>
    </row>
    <row r="58" spans="1:15" x14ac:dyDescent="0.3">
      <c r="A58" s="239">
        <v>55</v>
      </c>
      <c r="B58" s="89" t="s">
        <v>8</v>
      </c>
      <c r="C58" s="85">
        <v>4700000</v>
      </c>
      <c r="D58" s="85">
        <v>3600000</v>
      </c>
      <c r="E58" s="85">
        <v>3390000</v>
      </c>
      <c r="F58" s="85">
        <v>4550000</v>
      </c>
      <c r="G58" s="85">
        <v>5150000</v>
      </c>
      <c r="H58" s="85">
        <v>5750000</v>
      </c>
      <c r="I58" s="85">
        <v>6390000</v>
      </c>
      <c r="J58" s="85">
        <v>7000000</v>
      </c>
      <c r="K58" s="85">
        <v>5920000</v>
      </c>
      <c r="L58" s="85">
        <v>5800000</v>
      </c>
      <c r="M58" s="85">
        <v>5300000</v>
      </c>
      <c r="N58" s="85">
        <v>5625000</v>
      </c>
      <c r="O58" s="240">
        <f>C58+D58+E58+F58+G58+H58+I58+J58+K58+L58+M58+N58</f>
        <v>63175000</v>
      </c>
    </row>
    <row r="59" spans="1:15" x14ac:dyDescent="0.3">
      <c r="A59" s="61">
        <v>56</v>
      </c>
      <c r="B59" s="106" t="s">
        <v>222</v>
      </c>
      <c r="C59" s="85">
        <v>1250000</v>
      </c>
      <c r="D59" s="85">
        <v>1000000</v>
      </c>
      <c r="E59" s="85">
        <v>1150000</v>
      </c>
      <c r="F59" s="85">
        <v>1350000</v>
      </c>
      <c r="G59" s="85">
        <v>1400000</v>
      </c>
      <c r="H59" s="85">
        <v>1550000</v>
      </c>
      <c r="I59" s="85">
        <v>1600000</v>
      </c>
      <c r="J59" s="85">
        <v>1650000</v>
      </c>
      <c r="K59" s="85">
        <v>1700000</v>
      </c>
      <c r="L59" s="85">
        <v>1750000</v>
      </c>
      <c r="M59" s="85">
        <v>1600000</v>
      </c>
      <c r="N59" s="85">
        <v>1750000</v>
      </c>
      <c r="O59" s="240">
        <f>C59+D59+E59+F59+G59+H59+I59+J59+K59+L59+M59+N59</f>
        <v>17750000</v>
      </c>
    </row>
    <row r="60" spans="1:15" x14ac:dyDescent="0.3">
      <c r="A60" s="239">
        <v>57</v>
      </c>
      <c r="B60" s="89" t="s">
        <v>91</v>
      </c>
      <c r="C60" s="85">
        <v>2350000</v>
      </c>
      <c r="D60" s="85">
        <v>1900000</v>
      </c>
      <c r="E60" s="85">
        <v>2000000</v>
      </c>
      <c r="F60" s="85">
        <v>2500000</v>
      </c>
      <c r="G60" s="85">
        <v>3050000</v>
      </c>
      <c r="H60" s="85">
        <v>2600000</v>
      </c>
      <c r="I60" s="85">
        <v>2450000</v>
      </c>
      <c r="J60" s="85">
        <v>2500000</v>
      </c>
      <c r="K60" s="85">
        <v>3150000</v>
      </c>
      <c r="L60" s="85">
        <v>3000000</v>
      </c>
      <c r="M60" s="85">
        <v>2850000</v>
      </c>
      <c r="N60" s="85">
        <v>3170000</v>
      </c>
      <c r="O60" s="240">
        <f>C60+D60+E60+F60+G60+H60+I60+J60+K60+L60+M60+N60</f>
        <v>31520000</v>
      </c>
    </row>
    <row r="61" spans="1:15" x14ac:dyDescent="0.3">
      <c r="A61" s="61">
        <v>58</v>
      </c>
      <c r="B61" s="90" t="s">
        <v>143</v>
      </c>
      <c r="C61" s="85">
        <v>450000</v>
      </c>
      <c r="D61" s="85">
        <v>400000</v>
      </c>
      <c r="E61" s="85">
        <v>490000</v>
      </c>
      <c r="F61" s="85">
        <v>480000</v>
      </c>
      <c r="G61" s="85">
        <v>600000</v>
      </c>
      <c r="H61" s="85">
        <v>610000</v>
      </c>
      <c r="I61" s="85">
        <v>590000</v>
      </c>
      <c r="J61" s="85">
        <v>590000</v>
      </c>
      <c r="K61" s="85">
        <v>440000</v>
      </c>
      <c r="L61" s="85">
        <v>480000</v>
      </c>
      <c r="M61" s="85">
        <v>380000</v>
      </c>
      <c r="N61" s="85">
        <v>380000</v>
      </c>
      <c r="O61" s="240">
        <f>C61+D61+E61+F61+G61+H61+I61+J61+K61+L61+M61+N61</f>
        <v>5890000</v>
      </c>
    </row>
    <row r="62" spans="1:15" x14ac:dyDescent="0.3">
      <c r="A62" s="239">
        <v>59</v>
      </c>
      <c r="B62" s="89" t="s">
        <v>92</v>
      </c>
      <c r="C62" s="85">
        <v>1600000</v>
      </c>
      <c r="D62" s="85">
        <v>1250000</v>
      </c>
      <c r="E62" s="85">
        <v>1600000</v>
      </c>
      <c r="F62" s="85">
        <v>1840000</v>
      </c>
      <c r="G62" s="85">
        <v>2200000</v>
      </c>
      <c r="H62" s="85">
        <v>2330000</v>
      </c>
      <c r="I62" s="85">
        <v>2430000</v>
      </c>
      <c r="J62" s="85">
        <v>2380000</v>
      </c>
      <c r="K62" s="85">
        <v>2500000</v>
      </c>
      <c r="L62" s="85">
        <v>2720000</v>
      </c>
      <c r="M62" s="85">
        <v>2390000</v>
      </c>
      <c r="N62" s="85">
        <v>2150000</v>
      </c>
      <c r="O62" s="240">
        <f>C62+D62+E62+F62+G62+H62+I62+J62+K62+L62+M62+N62</f>
        <v>25390000</v>
      </c>
    </row>
    <row r="63" spans="1:15" x14ac:dyDescent="0.3">
      <c r="A63" s="61">
        <v>60</v>
      </c>
      <c r="B63" s="90" t="s">
        <v>104</v>
      </c>
      <c r="C63" s="85">
        <v>700000</v>
      </c>
      <c r="D63" s="85">
        <v>580000</v>
      </c>
      <c r="E63" s="85">
        <v>540000</v>
      </c>
      <c r="F63" s="85">
        <v>590000</v>
      </c>
      <c r="G63" s="85">
        <v>630000</v>
      </c>
      <c r="H63" s="85">
        <v>600000</v>
      </c>
      <c r="I63" s="85">
        <v>660000</v>
      </c>
      <c r="J63" s="85">
        <v>830000</v>
      </c>
      <c r="K63" s="85">
        <v>730000</v>
      </c>
      <c r="L63" s="85">
        <v>820000</v>
      </c>
      <c r="M63" s="85">
        <v>800000</v>
      </c>
      <c r="N63" s="85">
        <v>900000</v>
      </c>
      <c r="O63" s="240">
        <f>C63+D63+E63+F63+G63+H63+I63+J63+K63+L63+M63+N63</f>
        <v>8380000</v>
      </c>
    </row>
    <row r="64" spans="1:15" x14ac:dyDescent="0.3">
      <c r="A64" s="239">
        <v>61</v>
      </c>
      <c r="B64" s="89" t="s">
        <v>9</v>
      </c>
      <c r="C64" s="85">
        <v>450000</v>
      </c>
      <c r="D64" s="85">
        <v>390000</v>
      </c>
      <c r="E64" s="85">
        <v>450000</v>
      </c>
      <c r="F64" s="85">
        <v>490000</v>
      </c>
      <c r="G64" s="85">
        <v>560000</v>
      </c>
      <c r="H64" s="85">
        <v>480000</v>
      </c>
      <c r="I64" s="85">
        <v>540000</v>
      </c>
      <c r="J64" s="85">
        <v>530000</v>
      </c>
      <c r="K64" s="85">
        <v>530000</v>
      </c>
      <c r="L64" s="85">
        <v>520000</v>
      </c>
      <c r="M64" s="85">
        <v>560000</v>
      </c>
      <c r="N64" s="85">
        <v>600000</v>
      </c>
      <c r="O64" s="240">
        <f>C64+D64+E64+F64+G64+H64+I64+J64+K64+L64+M64+N64</f>
        <v>6100000</v>
      </c>
    </row>
    <row r="65" spans="1:15" x14ac:dyDescent="0.3">
      <c r="A65" s="61">
        <v>62</v>
      </c>
      <c r="B65" s="90" t="s">
        <v>93</v>
      </c>
      <c r="C65" s="85">
        <v>1850000</v>
      </c>
      <c r="D65" s="85">
        <v>1420000</v>
      </c>
      <c r="E65" s="85">
        <v>1460000</v>
      </c>
      <c r="F65" s="85">
        <v>1760000</v>
      </c>
      <c r="G65" s="85">
        <v>2150000</v>
      </c>
      <c r="H65" s="85">
        <v>2000000</v>
      </c>
      <c r="I65" s="85">
        <v>2120000</v>
      </c>
      <c r="J65" s="85">
        <v>2360000</v>
      </c>
      <c r="K65" s="85">
        <v>2500000</v>
      </c>
      <c r="L65" s="85">
        <v>2650000</v>
      </c>
      <c r="M65" s="85">
        <v>2530000</v>
      </c>
      <c r="N65" s="85">
        <v>2500000</v>
      </c>
      <c r="O65" s="240">
        <f>C65+D65+E65+F65+G65+H65+I65+J65+K65+L65+M65+N65</f>
        <v>25300000</v>
      </c>
    </row>
    <row r="66" spans="1:15" x14ac:dyDescent="0.3">
      <c r="A66" s="239">
        <v>63</v>
      </c>
      <c r="B66" s="89" t="s">
        <v>100</v>
      </c>
      <c r="C66" s="85">
        <v>1160000</v>
      </c>
      <c r="D66" s="85">
        <v>1050000</v>
      </c>
      <c r="E66" s="85">
        <v>1100000</v>
      </c>
      <c r="F66" s="85">
        <v>1250000</v>
      </c>
      <c r="G66" s="85">
        <v>1440000</v>
      </c>
      <c r="H66" s="85">
        <v>1220000</v>
      </c>
      <c r="I66" s="85">
        <v>1580000</v>
      </c>
      <c r="J66" s="85">
        <v>1580000</v>
      </c>
      <c r="K66" s="85">
        <v>1500000</v>
      </c>
      <c r="L66" s="85">
        <v>1440000</v>
      </c>
      <c r="M66" s="85">
        <v>1320000</v>
      </c>
      <c r="N66" s="85">
        <v>1250000</v>
      </c>
      <c r="O66" s="240">
        <f>C66+D66+E66+F66+G66+H66+I66+J66+K66+L66+M66+N66</f>
        <v>15890000</v>
      </c>
    </row>
    <row r="67" spans="1:15" x14ac:dyDescent="0.3">
      <c r="A67" s="61">
        <v>64</v>
      </c>
      <c r="B67" s="90" t="s">
        <v>85</v>
      </c>
      <c r="C67" s="85">
        <v>4900000</v>
      </c>
      <c r="D67" s="85">
        <v>3900000</v>
      </c>
      <c r="E67" s="85">
        <v>4050000</v>
      </c>
      <c r="F67" s="85">
        <v>4800000</v>
      </c>
      <c r="G67" s="85">
        <v>5380000</v>
      </c>
      <c r="H67" s="85">
        <v>5250000</v>
      </c>
      <c r="I67" s="85">
        <v>5750000</v>
      </c>
      <c r="J67" s="85">
        <v>5650000</v>
      </c>
      <c r="K67" s="85">
        <v>5650000</v>
      </c>
      <c r="L67" s="85">
        <v>5600000</v>
      </c>
      <c r="M67" s="85">
        <v>5350000</v>
      </c>
      <c r="N67" s="85">
        <v>5560000</v>
      </c>
      <c r="O67" s="240">
        <f>C67+D67+E67+F67+G67+H67+I67+J67+K67+L67+M67+N67</f>
        <v>61840000</v>
      </c>
    </row>
    <row r="68" spans="1:15" x14ac:dyDescent="0.3">
      <c r="A68" s="239">
        <v>65</v>
      </c>
      <c r="B68" s="89" t="s">
        <v>87</v>
      </c>
      <c r="C68" s="85">
        <v>1300000</v>
      </c>
      <c r="D68" s="85">
        <v>1100000</v>
      </c>
      <c r="E68" s="85">
        <v>1250000</v>
      </c>
      <c r="F68" s="85">
        <v>1380000</v>
      </c>
      <c r="G68" s="85">
        <v>1440000</v>
      </c>
      <c r="H68" s="85">
        <v>1370000</v>
      </c>
      <c r="I68" s="85">
        <v>1620000</v>
      </c>
      <c r="J68" s="85">
        <v>1640000</v>
      </c>
      <c r="K68" s="85">
        <v>1470000</v>
      </c>
      <c r="L68" s="85">
        <v>1570000</v>
      </c>
      <c r="M68" s="85">
        <v>1120000</v>
      </c>
      <c r="N68" s="85">
        <v>1360000</v>
      </c>
      <c r="O68" s="240">
        <f>C68+D68+E68+F68+G68+H68+I68+J68+K68+L68+M68+N68</f>
        <v>16620000</v>
      </c>
    </row>
    <row r="69" spans="1:15" x14ac:dyDescent="0.3">
      <c r="A69" s="61">
        <v>66</v>
      </c>
      <c r="B69" s="106" t="s">
        <v>223</v>
      </c>
      <c r="C69" s="85">
        <v>1250000</v>
      </c>
      <c r="D69" s="85">
        <v>1000000</v>
      </c>
      <c r="E69" s="85">
        <v>1200000</v>
      </c>
      <c r="F69" s="85">
        <v>1470000</v>
      </c>
      <c r="G69" s="85">
        <v>1550000</v>
      </c>
      <c r="H69" s="85">
        <v>1550000</v>
      </c>
      <c r="I69" s="85">
        <v>1800000</v>
      </c>
      <c r="J69" s="85">
        <v>1900000</v>
      </c>
      <c r="K69" s="85">
        <v>1900000</v>
      </c>
      <c r="L69" s="85">
        <v>1950000</v>
      </c>
      <c r="M69" s="85">
        <v>1800000</v>
      </c>
      <c r="N69" s="85">
        <v>1900000</v>
      </c>
      <c r="O69" s="240">
        <f>C69+D69+E69+F69+G69+H69+I69+J69+K69+L69+M69+N69</f>
        <v>19270000</v>
      </c>
    </row>
    <row r="70" spans="1:15" x14ac:dyDescent="0.3">
      <c r="A70" s="239">
        <v>67</v>
      </c>
      <c r="B70" s="89" t="s">
        <v>18</v>
      </c>
      <c r="C70" s="85">
        <v>4000000</v>
      </c>
      <c r="D70" s="85">
        <v>3160000</v>
      </c>
      <c r="E70" s="85">
        <v>2890000</v>
      </c>
      <c r="F70" s="85">
        <v>4065000</v>
      </c>
      <c r="G70" s="85">
        <v>4700000</v>
      </c>
      <c r="H70" s="85">
        <v>4860000</v>
      </c>
      <c r="I70" s="85">
        <v>6050000</v>
      </c>
      <c r="J70" s="85">
        <v>5930000</v>
      </c>
      <c r="K70" s="85">
        <v>5250000</v>
      </c>
      <c r="L70" s="85">
        <v>5150000</v>
      </c>
      <c r="M70" s="85">
        <v>4440000</v>
      </c>
      <c r="N70" s="85">
        <v>4550000</v>
      </c>
      <c r="O70" s="240">
        <f>C70+D70+E70+F70+G70+H70+I70+J70+K70+L70+M70+N70</f>
        <v>55045000</v>
      </c>
    </row>
    <row r="71" spans="1:15" x14ac:dyDescent="0.3">
      <c r="A71" s="61">
        <v>68</v>
      </c>
      <c r="B71" s="90" t="s">
        <v>11</v>
      </c>
      <c r="C71" s="85">
        <v>950000</v>
      </c>
      <c r="D71" s="85">
        <v>750000</v>
      </c>
      <c r="E71" s="85">
        <v>600000</v>
      </c>
      <c r="F71" s="85">
        <v>900000</v>
      </c>
      <c r="G71" s="85">
        <v>1000000</v>
      </c>
      <c r="H71" s="85">
        <v>1000000</v>
      </c>
      <c r="I71" s="85">
        <v>1150000</v>
      </c>
      <c r="J71" s="85">
        <v>1200000</v>
      </c>
      <c r="K71" s="85">
        <v>1100000</v>
      </c>
      <c r="L71" s="85">
        <v>1100000</v>
      </c>
      <c r="M71" s="85">
        <v>1000000</v>
      </c>
      <c r="N71" s="85">
        <v>1030000</v>
      </c>
      <c r="O71" s="240">
        <f>C71+D71+E71+F71+G71+H71+I71+J71+K71+L71+M71+N71</f>
        <v>11780000</v>
      </c>
    </row>
    <row r="72" spans="1:15" x14ac:dyDescent="0.3">
      <c r="A72" s="239">
        <v>69</v>
      </c>
      <c r="B72" s="89" t="s">
        <v>12</v>
      </c>
      <c r="C72" s="85">
        <v>600000</v>
      </c>
      <c r="D72" s="85">
        <v>480000</v>
      </c>
      <c r="E72" s="85">
        <v>470000</v>
      </c>
      <c r="F72" s="85">
        <v>570000</v>
      </c>
      <c r="G72" s="85">
        <v>670000</v>
      </c>
      <c r="H72" s="85">
        <v>680000</v>
      </c>
      <c r="I72" s="85">
        <v>750000</v>
      </c>
      <c r="J72" s="85">
        <v>750000</v>
      </c>
      <c r="K72" s="85">
        <v>700000</v>
      </c>
      <c r="L72" s="85">
        <v>700000</v>
      </c>
      <c r="M72" s="85">
        <v>630000</v>
      </c>
      <c r="N72" s="85">
        <v>620000</v>
      </c>
      <c r="O72" s="240">
        <f>C72+D72+E72+F72+G72+H72+I72+J72+K72+L72+M72+N72</f>
        <v>7620000</v>
      </c>
    </row>
    <row r="73" spans="1:15" x14ac:dyDescent="0.3">
      <c r="A73" s="61">
        <v>70</v>
      </c>
      <c r="B73" s="90" t="s">
        <v>146</v>
      </c>
      <c r="C73" s="85">
        <v>530000</v>
      </c>
      <c r="D73" s="85">
        <v>500000</v>
      </c>
      <c r="E73" s="85">
        <v>490000</v>
      </c>
      <c r="F73" s="85">
        <v>640000</v>
      </c>
      <c r="G73" s="85">
        <v>700000</v>
      </c>
      <c r="H73" s="85">
        <v>800000</v>
      </c>
      <c r="I73" s="85">
        <v>900000</v>
      </c>
      <c r="J73" s="85">
        <v>950000</v>
      </c>
      <c r="K73" s="85">
        <v>890000</v>
      </c>
      <c r="L73" s="85">
        <v>950000</v>
      </c>
      <c r="M73" s="85">
        <v>900000</v>
      </c>
      <c r="N73" s="85">
        <v>925000</v>
      </c>
      <c r="O73" s="240">
        <f>C73+D73+E73+F73+G73+H73+I73+J73+K73+L73+M73+N73</f>
        <v>9175000</v>
      </c>
    </row>
    <row r="74" spans="1:15" x14ac:dyDescent="0.3">
      <c r="A74" s="239">
        <v>71</v>
      </c>
      <c r="B74" s="89" t="s">
        <v>88</v>
      </c>
      <c r="C74" s="85">
        <v>3470000</v>
      </c>
      <c r="D74" s="85">
        <v>2800000</v>
      </c>
      <c r="E74" s="85">
        <v>2890000</v>
      </c>
      <c r="F74" s="85">
        <v>4050000</v>
      </c>
      <c r="G74" s="85">
        <v>4770000</v>
      </c>
      <c r="H74" s="85">
        <v>5090000</v>
      </c>
      <c r="I74" s="85">
        <v>6730000</v>
      </c>
      <c r="J74" s="85">
        <v>7420000</v>
      </c>
      <c r="K74" s="85">
        <v>5730000</v>
      </c>
      <c r="L74" s="85">
        <v>4440000</v>
      </c>
      <c r="M74" s="85">
        <v>4280000</v>
      </c>
      <c r="N74" s="85">
        <v>4500000</v>
      </c>
      <c r="O74" s="240">
        <f>C74+D74+E74+F74+G74+H74+I74+J74+K74+L74+M74+N74</f>
        <v>56170000</v>
      </c>
    </row>
    <row r="75" spans="1:15" x14ac:dyDescent="0.3">
      <c r="A75" s="61">
        <v>72</v>
      </c>
      <c r="B75" s="90" t="s">
        <v>94</v>
      </c>
      <c r="C75" s="85">
        <v>2250000</v>
      </c>
      <c r="D75" s="85">
        <v>1850000</v>
      </c>
      <c r="E75" s="85">
        <v>1900000</v>
      </c>
      <c r="F75" s="85">
        <v>2530000</v>
      </c>
      <c r="G75" s="85">
        <v>2990000</v>
      </c>
      <c r="H75" s="85">
        <v>3050000</v>
      </c>
      <c r="I75" s="85">
        <v>3750000</v>
      </c>
      <c r="J75" s="85">
        <v>3800000</v>
      </c>
      <c r="K75" s="85">
        <v>3380000</v>
      </c>
      <c r="L75" s="85">
        <v>3120000</v>
      </c>
      <c r="M75" s="85">
        <v>2680000</v>
      </c>
      <c r="N75" s="85">
        <v>2600000</v>
      </c>
      <c r="O75" s="240">
        <f>C75+D75+E75+F75+G75+H75+I75+J75+K75+L75+M75+N75</f>
        <v>33900000</v>
      </c>
    </row>
    <row r="76" spans="1:15" x14ac:dyDescent="0.3">
      <c r="A76" s="239">
        <v>73</v>
      </c>
      <c r="B76" s="89" t="s">
        <v>101</v>
      </c>
      <c r="C76" s="85">
        <v>2100000</v>
      </c>
      <c r="D76" s="85">
        <v>1550000</v>
      </c>
      <c r="E76" s="85">
        <v>1900000</v>
      </c>
      <c r="F76" s="85">
        <v>2250000</v>
      </c>
      <c r="G76" s="85">
        <v>2750000</v>
      </c>
      <c r="H76" s="85">
        <v>2880000</v>
      </c>
      <c r="I76" s="85">
        <v>3650000</v>
      </c>
      <c r="J76" s="85">
        <v>4050000</v>
      </c>
      <c r="K76" s="85">
        <v>3640000</v>
      </c>
      <c r="L76" s="85">
        <v>3050000</v>
      </c>
      <c r="M76" s="85">
        <v>2950000</v>
      </c>
      <c r="N76" s="85">
        <v>2950000</v>
      </c>
      <c r="O76" s="240">
        <f>C76+D76+E76+F76+G76+H76+I76+J76+K76+L76+M76+N76</f>
        <v>33720000</v>
      </c>
    </row>
    <row r="77" spans="1:15" x14ac:dyDescent="0.3">
      <c r="A77" s="61">
        <v>74</v>
      </c>
      <c r="B77" s="90" t="s">
        <v>139</v>
      </c>
      <c r="C77" s="85">
        <v>2100000</v>
      </c>
      <c r="D77" s="85">
        <v>1580000</v>
      </c>
      <c r="E77" s="85">
        <v>1650000</v>
      </c>
      <c r="F77" s="85">
        <v>2120000</v>
      </c>
      <c r="G77" s="85">
        <v>2380000</v>
      </c>
      <c r="H77" s="85">
        <v>2580000</v>
      </c>
      <c r="I77" s="85">
        <v>3600000</v>
      </c>
      <c r="J77" s="85">
        <v>3800000</v>
      </c>
      <c r="K77" s="85">
        <v>3135000</v>
      </c>
      <c r="L77" s="85">
        <v>3200000</v>
      </c>
      <c r="M77" s="85">
        <v>2700000</v>
      </c>
      <c r="N77" s="85">
        <v>2680000</v>
      </c>
      <c r="O77" s="240">
        <f>C77+D77+E77+F77+G77+H77+I77+J77+K77+L77+M77+N77</f>
        <v>31525000</v>
      </c>
    </row>
    <row r="78" spans="1:15" x14ac:dyDescent="0.3">
      <c r="A78" s="239">
        <v>75</v>
      </c>
      <c r="B78" s="102" t="s">
        <v>228</v>
      </c>
      <c r="C78" s="85">
        <v>900000</v>
      </c>
      <c r="D78" s="85">
        <v>600000</v>
      </c>
      <c r="E78" s="85">
        <v>750000</v>
      </c>
      <c r="F78" s="85">
        <v>900000</v>
      </c>
      <c r="G78" s="85">
        <v>1100000</v>
      </c>
      <c r="H78" s="85">
        <v>1150000</v>
      </c>
      <c r="I78" s="85">
        <v>1250000</v>
      </c>
      <c r="J78" s="85">
        <v>1300000</v>
      </c>
      <c r="K78" s="85">
        <v>1200000</v>
      </c>
      <c r="L78" s="85">
        <v>1250000</v>
      </c>
      <c r="M78" s="85">
        <v>1150000</v>
      </c>
      <c r="N78" s="85">
        <v>1210000</v>
      </c>
      <c r="O78" s="240">
        <f>C78+D78+E78+F78+G78+H78+I78+J78+K78+L78+M78+N78</f>
        <v>12760000</v>
      </c>
    </row>
    <row r="79" spans="1:15" x14ac:dyDescent="0.3">
      <c r="A79" s="61">
        <v>76</v>
      </c>
      <c r="B79" s="90" t="s">
        <v>117</v>
      </c>
      <c r="C79" s="85">
        <v>1270000</v>
      </c>
      <c r="D79" s="85">
        <v>1100000</v>
      </c>
      <c r="E79" s="85">
        <v>1350000</v>
      </c>
      <c r="F79" s="85">
        <v>1890000</v>
      </c>
      <c r="G79" s="85">
        <v>2960000</v>
      </c>
      <c r="H79" s="85">
        <v>5050000</v>
      </c>
      <c r="I79" s="85">
        <v>8460000</v>
      </c>
      <c r="J79" s="85">
        <v>10250000</v>
      </c>
      <c r="K79" s="85">
        <v>4680000</v>
      </c>
      <c r="L79" s="85">
        <v>1975000</v>
      </c>
      <c r="M79" s="85">
        <v>1550000</v>
      </c>
      <c r="N79" s="85">
        <v>1600000</v>
      </c>
      <c r="O79" s="240">
        <f>C79+D79+E79+F79+G79+H79+I79+J79+K79+L79+M79+N79</f>
        <v>42135000</v>
      </c>
    </row>
    <row r="80" spans="1:15" x14ac:dyDescent="0.3">
      <c r="A80" s="239">
        <v>77</v>
      </c>
      <c r="B80" s="89" t="s">
        <v>60</v>
      </c>
      <c r="C80" s="85">
        <v>0</v>
      </c>
      <c r="D80" s="85">
        <v>0</v>
      </c>
      <c r="E80" s="85">
        <v>0</v>
      </c>
      <c r="F80" s="85">
        <v>0</v>
      </c>
      <c r="G80" s="85">
        <v>300000</v>
      </c>
      <c r="H80" s="85">
        <v>1400000</v>
      </c>
      <c r="I80" s="85">
        <v>2000000</v>
      </c>
      <c r="J80" s="85">
        <v>2400000</v>
      </c>
      <c r="K80" s="85">
        <v>700000</v>
      </c>
      <c r="L80" s="85">
        <v>0</v>
      </c>
      <c r="M80" s="85">
        <v>0</v>
      </c>
      <c r="N80" s="85">
        <v>0</v>
      </c>
      <c r="O80" s="240">
        <f>C80+D80+E80+F80+G80+H80+I80+J80+K80+L80+M80+N80</f>
        <v>6800000</v>
      </c>
    </row>
    <row r="81" spans="1:15" x14ac:dyDescent="0.3">
      <c r="A81" s="61">
        <v>78</v>
      </c>
      <c r="B81" s="90" t="s">
        <v>120</v>
      </c>
      <c r="C81" s="85">
        <v>0</v>
      </c>
      <c r="D81" s="85">
        <v>0</v>
      </c>
      <c r="E81" s="85">
        <v>0</v>
      </c>
      <c r="F81" s="85">
        <v>0</v>
      </c>
      <c r="G81" s="85">
        <v>200000</v>
      </c>
      <c r="H81" s="85">
        <v>800000</v>
      </c>
      <c r="I81" s="85">
        <v>1700000</v>
      </c>
      <c r="J81" s="85">
        <v>2000000</v>
      </c>
      <c r="K81" s="85">
        <v>650000</v>
      </c>
      <c r="L81" s="85">
        <v>0</v>
      </c>
      <c r="M81" s="85">
        <v>0</v>
      </c>
      <c r="N81" s="85">
        <v>0</v>
      </c>
      <c r="O81" s="240">
        <f>C81+D81+E81+F81+G81+H81+I81+J81+K81+L81+M81+N81</f>
        <v>5350000</v>
      </c>
    </row>
    <row r="82" spans="1:15" x14ac:dyDescent="0.3">
      <c r="A82" s="239">
        <v>79</v>
      </c>
      <c r="B82" s="102" t="s">
        <v>224</v>
      </c>
      <c r="C82" s="85">
        <v>350000</v>
      </c>
      <c r="D82" s="85">
        <v>250000</v>
      </c>
      <c r="E82" s="85">
        <v>500000</v>
      </c>
      <c r="F82" s="85">
        <v>600000</v>
      </c>
      <c r="G82" s="85">
        <v>1100000</v>
      </c>
      <c r="H82" s="85">
        <v>1800000</v>
      </c>
      <c r="I82" s="85">
        <v>3700000</v>
      </c>
      <c r="J82" s="85">
        <v>4700000</v>
      </c>
      <c r="K82" s="85">
        <v>1650000</v>
      </c>
      <c r="L82" s="85">
        <v>530000</v>
      </c>
      <c r="M82" s="85">
        <v>350000</v>
      </c>
      <c r="N82" s="85">
        <v>350000</v>
      </c>
      <c r="O82" s="240">
        <f>C82+D82+E82+F82+G82+H82+I82+J82+K82+L82+M82+N82</f>
        <v>15880000</v>
      </c>
    </row>
    <row r="83" spans="1:15" ht="15" customHeight="1" x14ac:dyDescent="0.3">
      <c r="A83" s="61">
        <v>80</v>
      </c>
      <c r="B83" s="106" t="s">
        <v>255</v>
      </c>
      <c r="C83" s="85">
        <v>0</v>
      </c>
      <c r="D83" s="85">
        <v>0</v>
      </c>
      <c r="E83" s="85">
        <v>0</v>
      </c>
      <c r="F83" s="85">
        <v>0</v>
      </c>
      <c r="G83" s="85">
        <v>0</v>
      </c>
      <c r="H83" s="85">
        <v>120000</v>
      </c>
      <c r="I83" s="85">
        <v>200000</v>
      </c>
      <c r="J83" s="85">
        <v>255000</v>
      </c>
      <c r="K83" s="85">
        <v>0</v>
      </c>
      <c r="L83" s="85">
        <v>0</v>
      </c>
      <c r="M83" s="85">
        <v>0</v>
      </c>
      <c r="N83" s="85">
        <v>0</v>
      </c>
      <c r="O83" s="240">
        <f>C83+D83+E83+F83+G83+H83+I83+J83+K83+L83+M83+N83</f>
        <v>575000</v>
      </c>
    </row>
    <row r="84" spans="1:15" ht="17.25" customHeight="1" x14ac:dyDescent="0.3">
      <c r="A84" s="239">
        <v>81</v>
      </c>
      <c r="B84" s="89" t="s">
        <v>20</v>
      </c>
      <c r="C84" s="85">
        <v>2250000</v>
      </c>
      <c r="D84" s="85">
        <v>1650000</v>
      </c>
      <c r="E84" s="85">
        <v>1750000</v>
      </c>
      <c r="F84" s="85">
        <v>2350000</v>
      </c>
      <c r="G84" s="85">
        <v>2480000</v>
      </c>
      <c r="H84" s="85">
        <v>2420000</v>
      </c>
      <c r="I84" s="85">
        <v>2580000</v>
      </c>
      <c r="J84" s="85">
        <v>2620000</v>
      </c>
      <c r="K84" s="85">
        <v>2600000</v>
      </c>
      <c r="L84" s="85">
        <v>2645000</v>
      </c>
      <c r="M84" s="85">
        <v>2500000</v>
      </c>
      <c r="N84" s="85">
        <v>2600000</v>
      </c>
      <c r="O84" s="240">
        <f>C84+D84+E84+F84+G84+H84+I84+J84+K84+L84+M84+N84</f>
        <v>28445000</v>
      </c>
    </row>
    <row r="85" spans="1:15" x14ac:dyDescent="0.3">
      <c r="A85" s="61">
        <v>82</v>
      </c>
      <c r="B85" s="90" t="s">
        <v>89</v>
      </c>
      <c r="C85" s="85">
        <v>3400000</v>
      </c>
      <c r="D85" s="85">
        <v>2350000</v>
      </c>
      <c r="E85" s="85">
        <v>2600000</v>
      </c>
      <c r="F85" s="85">
        <v>3300000</v>
      </c>
      <c r="G85" s="85">
        <v>3750000</v>
      </c>
      <c r="H85" s="85">
        <v>4670000</v>
      </c>
      <c r="I85" s="85">
        <v>4190000</v>
      </c>
      <c r="J85" s="85">
        <v>5620000</v>
      </c>
      <c r="K85" s="85">
        <v>6040000</v>
      </c>
      <c r="L85" s="85">
        <v>5800000</v>
      </c>
      <c r="M85" s="85">
        <v>6200000</v>
      </c>
      <c r="N85" s="85">
        <v>4340000</v>
      </c>
      <c r="O85" s="240">
        <f>C85+D85+E85+F85+G85+H85+I85+J85+K85+L85+M85+N85</f>
        <v>52260000</v>
      </c>
    </row>
    <row r="86" spans="1:15" x14ac:dyDescent="0.3">
      <c r="A86" s="239">
        <v>83</v>
      </c>
      <c r="B86" s="89" t="s">
        <v>122</v>
      </c>
      <c r="C86" s="85">
        <v>1700000</v>
      </c>
      <c r="D86" s="85">
        <v>1550000</v>
      </c>
      <c r="E86" s="85">
        <v>1700000</v>
      </c>
      <c r="F86" s="85">
        <v>1850000</v>
      </c>
      <c r="G86" s="85">
        <v>2100000</v>
      </c>
      <c r="H86" s="85">
        <v>2130000</v>
      </c>
      <c r="I86" s="85">
        <v>2170000</v>
      </c>
      <c r="J86" s="85">
        <v>2380000</v>
      </c>
      <c r="K86" s="85">
        <v>2030000</v>
      </c>
      <c r="L86" s="85">
        <v>1800000</v>
      </c>
      <c r="M86" s="85">
        <v>1880000</v>
      </c>
      <c r="N86" s="85">
        <v>2050000</v>
      </c>
      <c r="O86" s="240">
        <f>C86+D86+E86+F86+G86+H86+I86+J86+K86+L86+M86+N86</f>
        <v>23340000</v>
      </c>
    </row>
    <row r="87" spans="1:15" x14ac:dyDescent="0.3">
      <c r="A87" s="61">
        <v>84</v>
      </c>
      <c r="B87" s="90" t="s">
        <v>102</v>
      </c>
      <c r="C87" s="85">
        <v>1110000</v>
      </c>
      <c r="D87" s="85">
        <v>800000</v>
      </c>
      <c r="E87" s="85">
        <v>790000</v>
      </c>
      <c r="F87" s="85">
        <v>1080000</v>
      </c>
      <c r="G87" s="85">
        <v>1350000</v>
      </c>
      <c r="H87" s="85">
        <v>1370000</v>
      </c>
      <c r="I87" s="85">
        <v>1680000</v>
      </c>
      <c r="J87" s="85">
        <v>1830000</v>
      </c>
      <c r="K87" s="85">
        <v>1420000</v>
      </c>
      <c r="L87" s="85">
        <v>1440000</v>
      </c>
      <c r="M87" s="85">
        <v>1170000</v>
      </c>
      <c r="N87" s="85">
        <v>1225000</v>
      </c>
      <c r="O87" s="240">
        <f>C87+D87+E87+F87+G87+H87+I87+J87+K87+L87+M87+N87</f>
        <v>15265000</v>
      </c>
    </row>
    <row r="88" spans="1:15" x14ac:dyDescent="0.3">
      <c r="A88" s="239">
        <v>85</v>
      </c>
      <c r="B88" s="89" t="s">
        <v>19</v>
      </c>
      <c r="C88" s="85">
        <v>1320000</v>
      </c>
      <c r="D88" s="85">
        <v>1000000</v>
      </c>
      <c r="E88" s="85">
        <v>1750000</v>
      </c>
      <c r="F88" s="85">
        <v>2220000</v>
      </c>
      <c r="G88" s="85">
        <v>2820000</v>
      </c>
      <c r="H88" s="85">
        <v>3420000</v>
      </c>
      <c r="I88" s="85">
        <v>3840000</v>
      </c>
      <c r="J88" s="85">
        <v>3280000</v>
      </c>
      <c r="K88" s="85">
        <v>2730000</v>
      </c>
      <c r="L88" s="85">
        <v>2370000</v>
      </c>
      <c r="M88" s="85">
        <v>1420000</v>
      </c>
      <c r="N88" s="85">
        <v>1030000</v>
      </c>
      <c r="O88" s="240">
        <f>C88+D88+E88+F88+G88+H88+I88+J88+K88+L88+M88+N88</f>
        <v>27200000</v>
      </c>
    </row>
    <row r="89" spans="1:15" x14ac:dyDescent="0.3">
      <c r="A89" s="61">
        <v>86</v>
      </c>
      <c r="B89" s="90" t="s">
        <v>90</v>
      </c>
      <c r="C89" s="85">
        <v>3100000</v>
      </c>
      <c r="D89" s="85">
        <v>2400000</v>
      </c>
      <c r="E89" s="85">
        <v>2500000</v>
      </c>
      <c r="F89" s="85">
        <v>3330000</v>
      </c>
      <c r="G89" s="85">
        <v>3900000</v>
      </c>
      <c r="H89" s="85">
        <v>3880000</v>
      </c>
      <c r="I89" s="85">
        <v>4120000</v>
      </c>
      <c r="J89" s="85">
        <v>4350000</v>
      </c>
      <c r="K89" s="85">
        <v>3720000</v>
      </c>
      <c r="L89" s="85">
        <v>3970000</v>
      </c>
      <c r="M89" s="85">
        <v>3900000</v>
      </c>
      <c r="N89" s="85">
        <v>3850000</v>
      </c>
      <c r="O89" s="240">
        <f>C89+D89+E89+F89+G89+H89+I89+J89+K89+L89+M89+N89</f>
        <v>43020000</v>
      </c>
    </row>
    <row r="90" spans="1:15" x14ac:dyDescent="0.3">
      <c r="A90" s="239">
        <v>87</v>
      </c>
      <c r="B90" s="89" t="s">
        <v>144</v>
      </c>
      <c r="C90" s="85">
        <v>2250000</v>
      </c>
      <c r="D90" s="85">
        <v>1850000</v>
      </c>
      <c r="E90" s="85">
        <v>1900000</v>
      </c>
      <c r="F90" s="85">
        <v>2470000</v>
      </c>
      <c r="G90" s="85">
        <v>2820000</v>
      </c>
      <c r="H90" s="85">
        <v>2650000</v>
      </c>
      <c r="I90" s="85">
        <v>2960000</v>
      </c>
      <c r="J90" s="85">
        <v>3120000</v>
      </c>
      <c r="K90" s="85">
        <v>3000000</v>
      </c>
      <c r="L90" s="85">
        <v>2950000</v>
      </c>
      <c r="M90" s="85">
        <v>2735000</v>
      </c>
      <c r="N90" s="85">
        <v>2680000</v>
      </c>
      <c r="O90" s="240">
        <f>C90+D90+E90+F90+G90+H90+I90+J90+K90+L90+M90+N90</f>
        <v>31385000</v>
      </c>
    </row>
    <row r="91" spans="1:15" x14ac:dyDescent="0.3">
      <c r="A91" s="61">
        <v>88</v>
      </c>
      <c r="B91" s="90" t="s">
        <v>145</v>
      </c>
      <c r="C91" s="85">
        <v>600000</v>
      </c>
      <c r="D91" s="85">
        <v>480000</v>
      </c>
      <c r="E91" s="85">
        <v>600000</v>
      </c>
      <c r="F91" s="85">
        <v>720000</v>
      </c>
      <c r="G91" s="85">
        <v>920000</v>
      </c>
      <c r="H91" s="85">
        <v>910000</v>
      </c>
      <c r="I91" s="85">
        <v>910000</v>
      </c>
      <c r="J91" s="85">
        <v>950000</v>
      </c>
      <c r="K91" s="85">
        <v>940000</v>
      </c>
      <c r="L91" s="85">
        <v>920000</v>
      </c>
      <c r="M91" s="85">
        <v>840000</v>
      </c>
      <c r="N91" s="85">
        <v>800000</v>
      </c>
      <c r="O91" s="240">
        <f>C91+D91+E91+F91+G91+H91+I91+J91+K91+L91+M91+N91</f>
        <v>9590000</v>
      </c>
    </row>
    <row r="92" spans="1:15" x14ac:dyDescent="0.3">
      <c r="A92" s="239">
        <v>89</v>
      </c>
      <c r="B92" s="89" t="s">
        <v>110</v>
      </c>
      <c r="C92" s="85">
        <v>1250000</v>
      </c>
      <c r="D92" s="85">
        <v>1000000</v>
      </c>
      <c r="E92" s="85">
        <v>1180000</v>
      </c>
      <c r="F92" s="85">
        <v>1350000</v>
      </c>
      <c r="G92" s="85">
        <v>1400000</v>
      </c>
      <c r="H92" s="85">
        <v>1530000</v>
      </c>
      <c r="I92" s="85">
        <v>1550000</v>
      </c>
      <c r="J92" s="85">
        <v>1780000</v>
      </c>
      <c r="K92" s="85">
        <v>1600000</v>
      </c>
      <c r="L92" s="85">
        <v>1600000</v>
      </c>
      <c r="M92" s="85">
        <v>1500000</v>
      </c>
      <c r="N92" s="85">
        <v>1340000</v>
      </c>
      <c r="O92" s="240">
        <f>C92+D92+E92+F92+G92+H92+I92+J92+K92+L92+M92+N92</f>
        <v>17080000</v>
      </c>
    </row>
    <row r="93" spans="1:15" ht="15" thickBot="1" x14ac:dyDescent="0.35">
      <c r="A93" s="241">
        <v>90</v>
      </c>
      <c r="B93" s="242" t="s">
        <v>152</v>
      </c>
      <c r="C93" s="85">
        <v>1080000</v>
      </c>
      <c r="D93" s="85">
        <v>860000</v>
      </c>
      <c r="E93" s="85">
        <v>1225000</v>
      </c>
      <c r="F93" s="85">
        <v>1240000</v>
      </c>
      <c r="G93" s="85">
        <v>1570000</v>
      </c>
      <c r="H93" s="85">
        <v>1360000</v>
      </c>
      <c r="I93" s="85">
        <v>1430000</v>
      </c>
      <c r="J93" s="85">
        <v>1580000</v>
      </c>
      <c r="K93" s="85">
        <v>1500000</v>
      </c>
      <c r="L93" s="85">
        <v>1660000</v>
      </c>
      <c r="M93" s="85">
        <v>1520000</v>
      </c>
      <c r="N93" s="85">
        <v>1390000</v>
      </c>
      <c r="O93" s="250">
        <f>C93+D93+E93+F93+G93+H93+I93+J93+K93+L93+M93+N93</f>
        <v>16415000</v>
      </c>
    </row>
    <row r="94" spans="1:15" ht="15" thickBot="1" x14ac:dyDescent="0.35">
      <c r="A94" s="287" t="s">
        <v>21</v>
      </c>
      <c r="B94" s="288"/>
      <c r="C94" s="50">
        <f>SUM(C4:C93)</f>
        <v>155920000</v>
      </c>
      <c r="D94" s="50">
        <f>SUM(D4:D93)</f>
        <v>124910000</v>
      </c>
      <c r="E94" s="50">
        <f>SUM(E4:E93)</f>
        <v>130515000</v>
      </c>
      <c r="F94" s="50">
        <f>SUM(F4:F93)</f>
        <v>163380000</v>
      </c>
      <c r="G94" s="50">
        <f>SUM(G4:G93)</f>
        <v>185380000</v>
      </c>
      <c r="H94" s="50">
        <f>SUM(H4:H93)</f>
        <v>194710000</v>
      </c>
      <c r="I94" s="50">
        <f>SUM(I4:I93)</f>
        <v>216720000</v>
      </c>
      <c r="J94" s="50">
        <f>SUM(J4:J93)</f>
        <v>226290000</v>
      </c>
      <c r="K94" s="50">
        <f>SUM(K4:K93)</f>
        <v>207010000</v>
      </c>
      <c r="L94" s="50">
        <f>SUM(L4:L93)</f>
        <v>206995000</v>
      </c>
      <c r="M94" s="50">
        <f>SUM(M4:M93)</f>
        <v>193260000</v>
      </c>
      <c r="N94" s="50">
        <f>SUM(N4:N93)</f>
        <v>194910000</v>
      </c>
      <c r="O94" s="145">
        <f>SUM(O4:O93)</f>
        <v>2200000000</v>
      </c>
    </row>
    <row r="95" spans="1:15" x14ac:dyDescent="0.3">
      <c r="J95" s="28"/>
      <c r="O95" s="29"/>
    </row>
    <row r="96" spans="1:15" x14ac:dyDescent="0.3">
      <c r="B96" s="52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8"/>
      <c r="O96" s="29"/>
    </row>
    <row r="97" spans="2:15" x14ac:dyDescent="0.3">
      <c r="B97" s="52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9"/>
    </row>
  </sheetData>
  <autoFilter ref="A3:O96" xr:uid="{00000000-0009-0000-0000-000002000000}"/>
  <mergeCells count="2">
    <mergeCell ref="A94:B94"/>
    <mergeCell ref="E1:I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2"/>
  <sheetViews>
    <sheetView topLeftCell="B55" workbookViewId="0">
      <selection activeCell="B84" sqref="A84:XFD84"/>
    </sheetView>
  </sheetViews>
  <sheetFormatPr defaultRowHeight="14.4" x14ac:dyDescent="0.3"/>
  <cols>
    <col min="1" max="1" width="5.6640625" customWidth="1"/>
    <col min="2" max="2" width="25" customWidth="1"/>
    <col min="3" max="3" width="14.44140625" customWidth="1"/>
    <col min="4" max="4" width="7.88671875" customWidth="1"/>
    <col min="5" max="5" width="15.5546875" customWidth="1"/>
    <col min="6" max="6" width="14.44140625" customWidth="1"/>
    <col min="7" max="7" width="8.33203125" customWidth="1"/>
    <col min="8" max="8" width="18" bestFit="1" customWidth="1"/>
    <col min="9" max="9" width="17.6640625" customWidth="1"/>
    <col min="10" max="10" width="17.33203125" hidden="1" customWidth="1"/>
    <col min="11" max="11" width="12" hidden="1" customWidth="1"/>
    <col min="12" max="12" width="16.5546875" bestFit="1" customWidth="1"/>
    <col min="13" max="13" width="15.5546875" hidden="1" customWidth="1"/>
    <col min="14" max="14" width="14.5546875" hidden="1" customWidth="1"/>
    <col min="15" max="15" width="13.88671875" customWidth="1"/>
    <col min="16" max="16" width="16" customWidth="1"/>
    <col min="17" max="17" width="13.44140625" customWidth="1"/>
    <col min="18" max="18" width="13" customWidth="1"/>
    <col min="19" max="19" width="18.6640625" hidden="1" customWidth="1"/>
    <col min="20" max="20" width="13.21875" hidden="1" customWidth="1"/>
  </cols>
  <sheetData>
    <row r="1" spans="1:20" x14ac:dyDescent="0.3">
      <c r="E1" s="281"/>
      <c r="F1" s="282"/>
      <c r="G1" s="282"/>
      <c r="H1" s="282"/>
    </row>
    <row r="2" spans="1:20" ht="15" thickBot="1" x14ac:dyDescent="0.35">
      <c r="E2" s="284"/>
      <c r="F2" s="285"/>
      <c r="G2" s="285"/>
      <c r="H2" s="285"/>
    </row>
    <row r="3" spans="1:20" ht="31.8" thickBot="1" x14ac:dyDescent="0.35">
      <c r="A3" s="66" t="s">
        <v>0</v>
      </c>
      <c r="B3" s="69" t="s">
        <v>1</v>
      </c>
      <c r="C3" s="19" t="s">
        <v>133</v>
      </c>
      <c r="D3" s="19"/>
      <c r="E3" s="20" t="s">
        <v>134</v>
      </c>
      <c r="F3" s="21" t="s">
        <v>135</v>
      </c>
      <c r="G3" s="21"/>
      <c r="H3" s="22" t="s">
        <v>136</v>
      </c>
      <c r="I3" s="23" t="s">
        <v>39</v>
      </c>
      <c r="J3" s="23" t="s">
        <v>154</v>
      </c>
      <c r="K3" s="23" t="s">
        <v>127</v>
      </c>
      <c r="L3" s="23" t="s">
        <v>107</v>
      </c>
      <c r="M3" s="23" t="s">
        <v>126</v>
      </c>
      <c r="N3" s="24" t="s">
        <v>40</v>
      </c>
      <c r="O3" s="181" t="s">
        <v>182</v>
      </c>
      <c r="P3" s="181" t="s">
        <v>183</v>
      </c>
    </row>
    <row r="4" spans="1:20" x14ac:dyDescent="0.3">
      <c r="A4" s="86">
        <v>1</v>
      </c>
      <c r="B4" s="89" t="s">
        <v>5</v>
      </c>
      <c r="C4" s="70">
        <f>VLOOKUP(B4,S:T,2,0)</f>
        <v>3777057</v>
      </c>
      <c r="D4" s="7">
        <f>C4/I4</f>
        <v>6.514849545343368E-2</v>
      </c>
      <c r="E4" s="85">
        <f>D4*L4</f>
        <v>4607953.0834213644</v>
      </c>
      <c r="F4" s="6">
        <v>4739515</v>
      </c>
      <c r="G4" s="7">
        <f>F4/I4</f>
        <v>8.1749433865832777E-2</v>
      </c>
      <c r="H4" s="85">
        <f>G4*L4</f>
        <v>5782137.4573303526</v>
      </c>
      <c r="I4" s="104">
        <v>57976120.149999999</v>
      </c>
      <c r="J4" s="87">
        <v>70730866.583000004</v>
      </c>
      <c r="K4" s="176">
        <v>0.22</v>
      </c>
      <c r="L4" s="87">
        <v>70730000</v>
      </c>
      <c r="M4" s="30">
        <v>70730000</v>
      </c>
      <c r="N4" s="31">
        <f t="shared" ref="N4:N67" si="0">M4-L4</f>
        <v>0</v>
      </c>
      <c r="O4" s="28">
        <f>VLOOKUP(B4,[15]AKSoftSalesReport!$B:$C,2,0)</f>
        <v>1139578</v>
      </c>
      <c r="P4" s="28">
        <f>VLOOKUP(B4,[16]AKSoftSalesReport!$B:$C,2,0)</f>
        <v>1227865</v>
      </c>
      <c r="Q4" s="28">
        <f>P4-O4</f>
        <v>88287</v>
      </c>
      <c r="R4" s="28">
        <v>4739515</v>
      </c>
      <c r="S4" s="177" t="s">
        <v>58</v>
      </c>
      <c r="T4" s="178">
        <v>423646</v>
      </c>
    </row>
    <row r="5" spans="1:20" x14ac:dyDescent="0.3">
      <c r="A5" s="62">
        <v>2</v>
      </c>
      <c r="B5" s="90" t="s">
        <v>123</v>
      </c>
      <c r="C5" s="70">
        <f t="shared" ref="C5:C68" si="1">VLOOKUP(B5,S:T,2,0)</f>
        <v>3248132</v>
      </c>
      <c r="D5" s="7">
        <f t="shared" ref="D5:D68" si="2">C5/I5</f>
        <v>5.718314537752589E-2</v>
      </c>
      <c r="E5" s="85">
        <f t="shared" ref="E5:E68" si="3">D5*L5</f>
        <v>3962791.9746625442</v>
      </c>
      <c r="F5" s="6">
        <v>4571246</v>
      </c>
      <c r="G5" s="7">
        <f t="shared" ref="G5:G68" si="4">F5/I5</f>
        <v>8.0476478349535585E-2</v>
      </c>
      <c r="H5" s="85">
        <f t="shared" ref="H5:H68" si="5">G5*L5</f>
        <v>5577019.9496228164</v>
      </c>
      <c r="I5" s="104">
        <v>56802261.899999999</v>
      </c>
      <c r="J5" s="87">
        <v>69298759.517999992</v>
      </c>
      <c r="K5" s="176">
        <v>0.22</v>
      </c>
      <c r="L5" s="25">
        <v>69300000</v>
      </c>
      <c r="M5" s="30">
        <v>69300000.000000015</v>
      </c>
      <c r="N5" s="31">
        <f t="shared" si="0"/>
        <v>0</v>
      </c>
      <c r="O5" s="28">
        <f>VLOOKUP(B5,[15]AKSoftSalesReport!$B:$C,2,0)</f>
        <v>981091</v>
      </c>
      <c r="P5" s="28">
        <f>VLOOKUP(B5,[16]AKSoftSalesReport!$B:$C,2,0)</f>
        <v>1232487</v>
      </c>
      <c r="Q5" s="28">
        <f t="shared" ref="Q5:Q68" si="6">P5-O5</f>
        <v>251396</v>
      </c>
      <c r="R5" s="28">
        <v>4571246</v>
      </c>
      <c r="S5" s="179" t="s">
        <v>155</v>
      </c>
      <c r="T5" s="180">
        <v>405061</v>
      </c>
    </row>
    <row r="6" spans="1:20" x14ac:dyDescent="0.3">
      <c r="A6" s="86">
        <v>3</v>
      </c>
      <c r="B6" s="89" t="s">
        <v>68</v>
      </c>
      <c r="C6" s="70">
        <f t="shared" si="1"/>
        <v>3879171</v>
      </c>
      <c r="D6" s="7">
        <f t="shared" si="2"/>
        <v>6.1813280405251511E-2</v>
      </c>
      <c r="E6" s="85">
        <f t="shared" si="3"/>
        <v>4965460.8149538543</v>
      </c>
      <c r="F6" s="6">
        <v>4907699</v>
      </c>
      <c r="G6" s="7">
        <f t="shared" si="4"/>
        <v>7.8202526888237839E-2</v>
      </c>
      <c r="H6" s="85">
        <f t="shared" si="5"/>
        <v>6282008.984932146</v>
      </c>
      <c r="I6" s="104">
        <v>62756271.379999995</v>
      </c>
      <c r="J6" s="87">
        <v>80328027.366400003</v>
      </c>
      <c r="K6" s="176">
        <v>0.28000000000000003</v>
      </c>
      <c r="L6" s="1">
        <v>80330000</v>
      </c>
      <c r="M6" s="30">
        <v>80330000</v>
      </c>
      <c r="N6" s="31">
        <f t="shared" si="0"/>
        <v>0</v>
      </c>
      <c r="O6" s="28">
        <f>VLOOKUP(B6,[15]AKSoftSalesReport!$B:$C,2,0)</f>
        <v>1160028</v>
      </c>
      <c r="P6" s="28">
        <f>VLOOKUP(B6,[16]AKSoftSalesReport!$B:$C,2,0)</f>
        <v>1305795</v>
      </c>
      <c r="Q6" s="28">
        <f t="shared" si="6"/>
        <v>145767</v>
      </c>
      <c r="R6" s="28">
        <v>4907699</v>
      </c>
      <c r="S6" s="177" t="s">
        <v>62</v>
      </c>
      <c r="T6" s="178">
        <v>370506</v>
      </c>
    </row>
    <row r="7" spans="1:20" x14ac:dyDescent="0.3">
      <c r="A7" s="62">
        <v>4</v>
      </c>
      <c r="B7" s="90" t="s">
        <v>47</v>
      </c>
      <c r="C7" s="70">
        <f t="shared" si="1"/>
        <v>2190930</v>
      </c>
      <c r="D7" s="7">
        <f t="shared" si="2"/>
        <v>4.8119076097846603E-2</v>
      </c>
      <c r="E7" s="85">
        <f t="shared" si="3"/>
        <v>2716803.0364844194</v>
      </c>
      <c r="F7" s="6">
        <v>3371233</v>
      </c>
      <c r="G7" s="7">
        <f t="shared" si="4"/>
        <v>7.4041898769276832E-2</v>
      </c>
      <c r="H7" s="85">
        <f t="shared" si="5"/>
        <v>4180405.60451337</v>
      </c>
      <c r="I7" s="104">
        <v>45531422.829999998</v>
      </c>
      <c r="J7" s="87">
        <v>56458964.309199996</v>
      </c>
      <c r="K7" s="176">
        <v>0.24</v>
      </c>
      <c r="L7" s="25">
        <v>56460000</v>
      </c>
      <c r="M7" s="30">
        <v>56460000</v>
      </c>
      <c r="N7" s="31">
        <f t="shared" si="0"/>
        <v>0</v>
      </c>
      <c r="O7" s="28">
        <f>VLOOKUP(B7,[15]AKSoftSalesReport!$B:$C,2,0)</f>
        <v>671991</v>
      </c>
      <c r="P7" s="28">
        <f>VLOOKUP(B7,[16]AKSoftSalesReport!$B:$C,2,0)</f>
        <v>884453</v>
      </c>
      <c r="Q7" s="28">
        <f t="shared" si="6"/>
        <v>212462</v>
      </c>
      <c r="R7" s="28">
        <v>3371233</v>
      </c>
      <c r="S7" s="179" t="s">
        <v>156</v>
      </c>
      <c r="T7" s="180">
        <v>713070</v>
      </c>
    </row>
    <row r="8" spans="1:20" x14ac:dyDescent="0.3">
      <c r="A8" s="86">
        <v>5</v>
      </c>
      <c r="B8" s="89" t="s">
        <v>63</v>
      </c>
      <c r="C8" s="70">
        <f t="shared" si="1"/>
        <v>1466731</v>
      </c>
      <c r="D8" s="7">
        <f t="shared" si="2"/>
        <v>5.4507341328151687E-2</v>
      </c>
      <c r="E8" s="85">
        <f t="shared" si="3"/>
        <v>1789476.01580322</v>
      </c>
      <c r="F8" s="6">
        <v>1942773</v>
      </c>
      <c r="G8" s="7">
        <f t="shared" si="4"/>
        <v>7.2198236100632793E-2</v>
      </c>
      <c r="H8" s="85">
        <f t="shared" si="5"/>
        <v>2370268.0911837746</v>
      </c>
      <c r="I8" s="104">
        <v>26908870.699999999</v>
      </c>
      <c r="J8" s="87">
        <v>32828822.254000001</v>
      </c>
      <c r="K8" s="176">
        <v>0.22</v>
      </c>
      <c r="L8" s="1">
        <v>32830000</v>
      </c>
      <c r="M8" s="30">
        <v>32829999.999999996</v>
      </c>
      <c r="N8" s="31">
        <f t="shared" si="0"/>
        <v>0</v>
      </c>
      <c r="O8" s="28">
        <f>VLOOKUP(B8,[15]AKSoftSalesReport!$B:$C,2,0)</f>
        <v>420732</v>
      </c>
      <c r="P8" s="28">
        <f>VLOOKUP(B8,[16]AKSoftSalesReport!$B:$C,2,0)</f>
        <v>519686</v>
      </c>
      <c r="Q8" s="28">
        <f t="shared" si="6"/>
        <v>98954</v>
      </c>
      <c r="R8" s="28">
        <v>1942773</v>
      </c>
      <c r="S8" s="177" t="s">
        <v>57</v>
      </c>
      <c r="T8" s="178">
        <v>81489</v>
      </c>
    </row>
    <row r="9" spans="1:20" x14ac:dyDescent="0.3">
      <c r="A9" s="62">
        <v>6</v>
      </c>
      <c r="B9" s="90" t="s">
        <v>109</v>
      </c>
      <c r="C9" s="70">
        <f t="shared" si="1"/>
        <v>2147299</v>
      </c>
      <c r="D9" s="7">
        <f t="shared" si="2"/>
        <v>5.917132324548724E-2</v>
      </c>
      <c r="E9" s="85">
        <f t="shared" si="3"/>
        <v>2791407.1741058603</v>
      </c>
      <c r="F9" s="6">
        <v>2975337</v>
      </c>
      <c r="G9" s="7">
        <f t="shared" si="4"/>
        <v>8.1988874111736776E-2</v>
      </c>
      <c r="H9" s="85">
        <f t="shared" si="5"/>
        <v>3867825.1362211825</v>
      </c>
      <c r="I9" s="104">
        <v>36289521.379999995</v>
      </c>
      <c r="J9" s="87">
        <v>47176377.793999992</v>
      </c>
      <c r="K9" s="176">
        <v>0.3</v>
      </c>
      <c r="L9" s="1">
        <v>47175000</v>
      </c>
      <c r="M9" s="30">
        <v>47175000</v>
      </c>
      <c r="N9" s="31">
        <f t="shared" si="0"/>
        <v>0</v>
      </c>
      <c r="O9" s="28">
        <f>VLOOKUP(B9,[15]AKSoftSalesReport!$B:$C,2,0)</f>
        <v>609099</v>
      </c>
      <c r="P9" s="28">
        <f>VLOOKUP(B9,[16]AKSoftSalesReport!$B:$C,2,0)</f>
        <v>786773</v>
      </c>
      <c r="Q9" s="28">
        <f t="shared" si="6"/>
        <v>177674</v>
      </c>
      <c r="R9" s="28">
        <v>2975337</v>
      </c>
      <c r="S9" s="179" t="s">
        <v>157</v>
      </c>
      <c r="T9" s="180">
        <v>659272</v>
      </c>
    </row>
    <row r="10" spans="1:20" x14ac:dyDescent="0.3">
      <c r="A10" s="86">
        <v>7</v>
      </c>
      <c r="B10" s="102" t="s">
        <v>147</v>
      </c>
      <c r="C10" s="70">
        <f t="shared" si="1"/>
        <v>629623</v>
      </c>
      <c r="D10" s="7">
        <f t="shared" si="2"/>
        <v>6.7002874997085127E-2</v>
      </c>
      <c r="E10" s="85">
        <f t="shared" si="3"/>
        <v>818775.13246438024</v>
      </c>
      <c r="F10" s="6">
        <v>758949</v>
      </c>
      <c r="G10" s="7">
        <f t="shared" si="4"/>
        <v>8.0765418315663112E-2</v>
      </c>
      <c r="H10" s="85">
        <f t="shared" si="5"/>
        <v>986953.41181740328</v>
      </c>
      <c r="I10" s="104">
        <v>9396954.9818181824</v>
      </c>
      <c r="J10" s="87">
        <v>12216041.476363637</v>
      </c>
      <c r="K10" s="176">
        <v>0.3</v>
      </c>
      <c r="L10" s="1">
        <v>12220000</v>
      </c>
      <c r="M10" s="30">
        <v>11201666.666666666</v>
      </c>
      <c r="N10" s="31">
        <f t="shared" si="0"/>
        <v>-1018333.333333334</v>
      </c>
      <c r="O10" s="28">
        <f>VLOOKUP(B10,[15]AKSoftSalesReport!$B:$C,2,0)</f>
        <v>192394</v>
      </c>
      <c r="P10" s="28">
        <f>VLOOKUP(B10,[16]AKSoftSalesReport!$B:$C,2,0)</f>
        <v>198089</v>
      </c>
      <c r="Q10" s="28">
        <f t="shared" si="6"/>
        <v>5695</v>
      </c>
      <c r="R10" s="28">
        <v>758949</v>
      </c>
      <c r="S10" s="177" t="s">
        <v>158</v>
      </c>
      <c r="T10" s="178">
        <v>113540</v>
      </c>
    </row>
    <row r="11" spans="1:20" x14ac:dyDescent="0.3">
      <c r="A11" s="62">
        <v>8</v>
      </c>
      <c r="B11" s="90" t="s">
        <v>4</v>
      </c>
      <c r="C11" s="70">
        <f t="shared" si="1"/>
        <v>897694</v>
      </c>
      <c r="D11" s="7">
        <f t="shared" si="2"/>
        <v>5.042378016015539E-2</v>
      </c>
      <c r="E11" s="85">
        <f t="shared" si="3"/>
        <v>1077304.06312172</v>
      </c>
      <c r="F11" s="6">
        <v>1395894</v>
      </c>
      <c r="G11" s="7">
        <f t="shared" si="4"/>
        <v>7.8407845193217224E-2</v>
      </c>
      <c r="H11" s="85">
        <f t="shared" si="5"/>
        <v>1675183.6125530859</v>
      </c>
      <c r="I11" s="104">
        <v>17802988.93</v>
      </c>
      <c r="J11" s="87">
        <v>21363586.715999998</v>
      </c>
      <c r="K11" s="176">
        <v>0.2</v>
      </c>
      <c r="L11" s="25">
        <v>21365000</v>
      </c>
      <c r="M11" s="30">
        <v>21365000</v>
      </c>
      <c r="N11" s="31">
        <f t="shared" si="0"/>
        <v>0</v>
      </c>
      <c r="O11" s="28">
        <f>VLOOKUP(B11,[15]AKSoftSalesReport!$B:$C,2,0)</f>
        <v>271445</v>
      </c>
      <c r="P11" s="28">
        <f>VLOOKUP(B11,[16]AKSoftSalesReport!$B:$C,2,0)</f>
        <v>372994</v>
      </c>
      <c r="Q11" s="28">
        <f t="shared" si="6"/>
        <v>101549</v>
      </c>
      <c r="R11" s="28">
        <v>1395894</v>
      </c>
      <c r="S11" s="179" t="s">
        <v>4</v>
      </c>
      <c r="T11" s="180">
        <v>897694</v>
      </c>
    </row>
    <row r="12" spans="1:20" x14ac:dyDescent="0.3">
      <c r="A12" s="86">
        <v>9</v>
      </c>
      <c r="B12" s="89" t="s">
        <v>69</v>
      </c>
      <c r="C12" s="70">
        <f t="shared" si="1"/>
        <v>1017899</v>
      </c>
      <c r="D12" s="7">
        <f t="shared" si="2"/>
        <v>4.4070325397998523E-2</v>
      </c>
      <c r="E12" s="85">
        <f t="shared" si="3"/>
        <v>1272310.2942402174</v>
      </c>
      <c r="F12" s="6">
        <v>1726841</v>
      </c>
      <c r="G12" s="7">
        <f t="shared" si="4"/>
        <v>7.4764239655019965E-2</v>
      </c>
      <c r="H12" s="85">
        <f t="shared" si="5"/>
        <v>2158443.5988404262</v>
      </c>
      <c r="I12" s="73">
        <v>23097151.900000002</v>
      </c>
      <c r="J12" s="87">
        <v>28871439.875000004</v>
      </c>
      <c r="K12" s="176">
        <v>0.25</v>
      </c>
      <c r="L12" s="25">
        <v>28870000</v>
      </c>
      <c r="M12" s="30">
        <v>28870000</v>
      </c>
      <c r="N12" s="31">
        <f t="shared" si="0"/>
        <v>0</v>
      </c>
      <c r="O12" s="28">
        <f>VLOOKUP(B12,[15]AKSoftSalesReport!$B:$C,2,0)</f>
        <v>297034</v>
      </c>
      <c r="P12" s="28">
        <f>VLOOKUP(B12,[16]AKSoftSalesReport!$B:$C,2,0)</f>
        <v>452140</v>
      </c>
      <c r="Q12" s="28">
        <f t="shared" si="6"/>
        <v>155106</v>
      </c>
      <c r="R12" s="28">
        <v>1726841</v>
      </c>
      <c r="S12" s="177" t="s">
        <v>48</v>
      </c>
      <c r="T12" s="178">
        <v>1495391</v>
      </c>
    </row>
    <row r="13" spans="1:20" x14ac:dyDescent="0.3">
      <c r="A13" s="62">
        <v>10</v>
      </c>
      <c r="B13" s="90" t="s">
        <v>103</v>
      </c>
      <c r="C13" s="70">
        <f t="shared" si="1"/>
        <v>711091</v>
      </c>
      <c r="D13" s="7">
        <f t="shared" si="2"/>
        <v>7.0396987446788128E-2</v>
      </c>
      <c r="E13" s="85">
        <f t="shared" si="3"/>
        <v>888761.9665157001</v>
      </c>
      <c r="F13" s="6">
        <v>828422</v>
      </c>
      <c r="G13" s="7">
        <f t="shared" si="4"/>
        <v>8.2012587889093116E-2</v>
      </c>
      <c r="H13" s="85">
        <f t="shared" si="5"/>
        <v>1035408.9220998005</v>
      </c>
      <c r="I13" s="104">
        <v>10101156.68</v>
      </c>
      <c r="J13" s="87">
        <v>12626445.85</v>
      </c>
      <c r="K13" s="176">
        <v>0.25</v>
      </c>
      <c r="L13" s="25">
        <v>12625000</v>
      </c>
      <c r="M13" s="30">
        <v>12625000</v>
      </c>
      <c r="N13" s="31">
        <f t="shared" si="0"/>
        <v>0</v>
      </c>
      <c r="O13" s="28">
        <f>VLOOKUP(B13,[15]AKSoftSalesReport!$B:$C,2,0)</f>
        <v>193709</v>
      </c>
      <c r="P13" s="28">
        <f>VLOOKUP(B13,[16]AKSoftSalesReport!$B:$C,2,0)</f>
        <v>222561</v>
      </c>
      <c r="Q13" s="28">
        <f t="shared" si="6"/>
        <v>28852</v>
      </c>
      <c r="R13" s="28">
        <v>828422</v>
      </c>
      <c r="S13" s="179" t="s">
        <v>109</v>
      </c>
      <c r="T13" s="180">
        <v>2147299</v>
      </c>
    </row>
    <row r="14" spans="1:20" x14ac:dyDescent="0.3">
      <c r="A14" s="86">
        <v>11</v>
      </c>
      <c r="B14" s="102" t="s">
        <v>148</v>
      </c>
      <c r="C14" s="70">
        <f t="shared" si="1"/>
        <v>920050</v>
      </c>
      <c r="D14" s="7">
        <f t="shared" si="2"/>
        <v>6.7056070474257407E-2</v>
      </c>
      <c r="E14" s="85">
        <f t="shared" si="3"/>
        <v>1195945.0169083809</v>
      </c>
      <c r="F14" s="6">
        <v>1125919</v>
      </c>
      <c r="G14" s="7">
        <f t="shared" si="4"/>
        <v>8.2060435641873181E-2</v>
      </c>
      <c r="H14" s="85">
        <f t="shared" si="5"/>
        <v>1463547.8696728081</v>
      </c>
      <c r="I14" s="104">
        <v>13720607.15</v>
      </c>
      <c r="J14" s="87">
        <v>17836789.295000002</v>
      </c>
      <c r="K14" s="176">
        <v>0.3</v>
      </c>
      <c r="L14" s="25">
        <v>17835000</v>
      </c>
      <c r="M14" s="30">
        <v>17098947.544405863</v>
      </c>
      <c r="N14" s="31">
        <f t="shared" si="0"/>
        <v>-736052.45559413731</v>
      </c>
      <c r="O14" s="28">
        <f>VLOOKUP(B14,[15]AKSoftSalesReport!$B:$C,2,0)</f>
        <v>251492</v>
      </c>
      <c r="P14" s="28">
        <f>VLOOKUP(B14,[16]AKSoftSalesReport!$B:$C,2,0)</f>
        <v>299183</v>
      </c>
      <c r="Q14" s="28">
        <f t="shared" si="6"/>
        <v>47691</v>
      </c>
      <c r="R14" s="28">
        <v>1125919</v>
      </c>
      <c r="S14" s="177" t="s">
        <v>64</v>
      </c>
      <c r="T14" s="178">
        <v>539063</v>
      </c>
    </row>
    <row r="15" spans="1:20" x14ac:dyDescent="0.3">
      <c r="A15" s="62">
        <v>12</v>
      </c>
      <c r="B15" s="90" t="s">
        <v>6</v>
      </c>
      <c r="C15" s="70">
        <f t="shared" si="1"/>
        <v>1672629</v>
      </c>
      <c r="D15" s="7">
        <f t="shared" si="2"/>
        <v>4.7824495158595368E-2</v>
      </c>
      <c r="E15" s="85">
        <f t="shared" si="3"/>
        <v>2007194.0618062476</v>
      </c>
      <c r="F15" s="6">
        <v>2349428</v>
      </c>
      <c r="G15" s="7">
        <f t="shared" si="4"/>
        <v>6.717581006395823E-2</v>
      </c>
      <c r="H15" s="85">
        <f t="shared" si="5"/>
        <v>2819368.7483843267</v>
      </c>
      <c r="I15" s="104">
        <v>34974315.869999997</v>
      </c>
      <c r="J15" s="87">
        <v>41969179.044</v>
      </c>
      <c r="K15" s="176">
        <v>0.2</v>
      </c>
      <c r="L15" s="25">
        <v>41970000</v>
      </c>
      <c r="M15" s="30">
        <v>41970000</v>
      </c>
      <c r="N15" s="31">
        <f t="shared" si="0"/>
        <v>0</v>
      </c>
      <c r="O15" s="28">
        <f>VLOOKUP(B15,[15]AKSoftSalesReport!$B:$C,2,0)</f>
        <v>493860</v>
      </c>
      <c r="P15" s="28">
        <f>VLOOKUP(B15,[16]AKSoftSalesReport!$B:$C,2,0)</f>
        <v>618374</v>
      </c>
      <c r="Q15" s="28">
        <f t="shared" si="6"/>
        <v>124514</v>
      </c>
      <c r="R15" s="28">
        <v>2349428</v>
      </c>
      <c r="S15" s="179" t="s">
        <v>159</v>
      </c>
      <c r="T15" s="180">
        <v>3219165</v>
      </c>
    </row>
    <row r="16" spans="1:20" x14ac:dyDescent="0.3">
      <c r="A16" s="86">
        <v>13</v>
      </c>
      <c r="B16" s="89" t="s">
        <v>70</v>
      </c>
      <c r="C16" s="70">
        <f t="shared" si="1"/>
        <v>2305310</v>
      </c>
      <c r="D16" s="7">
        <f t="shared" si="2"/>
        <v>5.6709291878862207E-2</v>
      </c>
      <c r="E16" s="85">
        <f t="shared" si="3"/>
        <v>2812780.8771915655</v>
      </c>
      <c r="F16" s="6">
        <v>3194265</v>
      </c>
      <c r="G16" s="7">
        <f t="shared" si="4"/>
        <v>7.8577070425857612E-2</v>
      </c>
      <c r="H16" s="85">
        <f t="shared" si="5"/>
        <v>3897422.6931225373</v>
      </c>
      <c r="I16" s="104">
        <v>40651362.829999998</v>
      </c>
      <c r="J16" s="87">
        <v>49594662.652599998</v>
      </c>
      <c r="K16" s="176">
        <v>0.22</v>
      </c>
      <c r="L16" s="25">
        <v>49600000</v>
      </c>
      <c r="M16" s="30">
        <v>49600000</v>
      </c>
      <c r="N16" s="31">
        <f t="shared" si="0"/>
        <v>0</v>
      </c>
      <c r="O16" s="28">
        <f>VLOOKUP(B16,[15]AKSoftSalesReport!$B:$C,2,0)</f>
        <v>645580</v>
      </c>
      <c r="P16" s="28">
        <f>VLOOKUP(B16,[16]AKSoftSalesReport!$B:$C,2,0)</f>
        <v>819541</v>
      </c>
      <c r="Q16" s="28">
        <f t="shared" si="6"/>
        <v>173961</v>
      </c>
      <c r="R16" s="28">
        <v>3194265</v>
      </c>
      <c r="S16" s="177" t="s">
        <v>160</v>
      </c>
      <c r="T16" s="178">
        <v>110554</v>
      </c>
    </row>
    <row r="17" spans="1:20" x14ac:dyDescent="0.3">
      <c r="A17" s="62">
        <v>14</v>
      </c>
      <c r="B17" s="90" t="s">
        <v>7</v>
      </c>
      <c r="C17" s="70">
        <f t="shared" si="1"/>
        <v>792749</v>
      </c>
      <c r="D17" s="7">
        <f t="shared" si="2"/>
        <v>4.7542375722888663E-2</v>
      </c>
      <c r="E17" s="85">
        <f t="shared" si="3"/>
        <v>982938.61807072314</v>
      </c>
      <c r="F17" s="6">
        <v>1138321</v>
      </c>
      <c r="G17" s="7">
        <f t="shared" si="4"/>
        <v>6.8266859592701276E-2</v>
      </c>
      <c r="H17" s="85">
        <f t="shared" si="5"/>
        <v>1411417.3220790988</v>
      </c>
      <c r="I17" s="104">
        <v>16674576.899999999</v>
      </c>
      <c r="J17" s="87">
        <v>20676475.355999999</v>
      </c>
      <c r="K17" s="176">
        <v>0.24</v>
      </c>
      <c r="L17" s="25">
        <v>20675000</v>
      </c>
      <c r="M17" s="30">
        <v>20675000</v>
      </c>
      <c r="N17" s="31">
        <f t="shared" si="0"/>
        <v>0</v>
      </c>
      <c r="O17" s="28">
        <f>VLOOKUP(B17,[15]AKSoftSalesReport!$B:$C,2,0)</f>
        <v>219018</v>
      </c>
      <c r="P17" s="28">
        <f>VLOOKUP(B17,[16]AKSoftSalesReport!$B:$C,2,0)</f>
        <v>306918</v>
      </c>
      <c r="Q17" s="28">
        <f t="shared" si="6"/>
        <v>87900</v>
      </c>
      <c r="R17" s="28">
        <v>1138321</v>
      </c>
      <c r="S17" s="179" t="s">
        <v>15</v>
      </c>
      <c r="T17" s="180">
        <v>384482</v>
      </c>
    </row>
    <row r="18" spans="1:20" x14ac:dyDescent="0.3">
      <c r="A18" s="86">
        <v>15</v>
      </c>
      <c r="B18" s="89" t="s">
        <v>140</v>
      </c>
      <c r="C18" s="70">
        <f t="shared" si="1"/>
        <v>508528</v>
      </c>
      <c r="D18" s="7">
        <f t="shared" si="2"/>
        <v>5.3674751623155173E-2</v>
      </c>
      <c r="E18" s="85">
        <f t="shared" si="3"/>
        <v>686500.07326015469</v>
      </c>
      <c r="F18" s="6">
        <v>601469</v>
      </c>
      <c r="G18" s="7">
        <f t="shared" si="4"/>
        <v>6.3484604946094453E-2</v>
      </c>
      <c r="H18" s="85">
        <f t="shared" si="5"/>
        <v>811968.09726054803</v>
      </c>
      <c r="I18" s="73">
        <v>9474249.7100000009</v>
      </c>
      <c r="J18" s="87">
        <v>12790237.1085</v>
      </c>
      <c r="K18" s="176">
        <v>0.35</v>
      </c>
      <c r="L18" s="1">
        <v>12790000</v>
      </c>
      <c r="M18" s="30">
        <v>12789999.999999998</v>
      </c>
      <c r="N18" s="31">
        <f>M18-L18</f>
        <v>0</v>
      </c>
      <c r="O18" s="28">
        <f>VLOOKUP(B18,[15]AKSoftSalesReport!$B:$C,2,0)</f>
        <v>152217</v>
      </c>
      <c r="P18" s="28">
        <f>VLOOKUP(B18,[16]AKSoftSalesReport!$B:$C,2,0)</f>
        <v>160577</v>
      </c>
      <c r="Q18" s="28">
        <f t="shared" si="6"/>
        <v>8360</v>
      </c>
      <c r="R18" s="28">
        <v>601469</v>
      </c>
      <c r="S18" s="177" t="s">
        <v>9</v>
      </c>
      <c r="T18" s="178">
        <v>420190</v>
      </c>
    </row>
    <row r="19" spans="1:20" x14ac:dyDescent="0.3">
      <c r="A19" s="62">
        <v>16</v>
      </c>
      <c r="B19" s="106" t="s">
        <v>141</v>
      </c>
      <c r="C19" s="70">
        <f t="shared" si="1"/>
        <v>593592</v>
      </c>
      <c r="D19" s="7">
        <f t="shared" si="2"/>
        <v>4.8092478431263283E-2</v>
      </c>
      <c r="E19" s="85">
        <f t="shared" si="3"/>
        <v>801220.69066484633</v>
      </c>
      <c r="F19" s="6">
        <v>857738</v>
      </c>
      <c r="G19" s="7">
        <f t="shared" si="4"/>
        <v>6.9493433645795272E-2</v>
      </c>
      <c r="H19" s="85">
        <f t="shared" si="5"/>
        <v>1157760.6045389492</v>
      </c>
      <c r="I19" s="73">
        <v>12342720.096000003</v>
      </c>
      <c r="J19" s="87">
        <v>16662672.129600003</v>
      </c>
      <c r="K19" s="176">
        <v>0.35</v>
      </c>
      <c r="L19" s="3">
        <v>16660000</v>
      </c>
      <c r="M19" s="30">
        <v>16226731.642749228</v>
      </c>
      <c r="N19" s="31">
        <f>M19-L19</f>
        <v>-433268.35725077242</v>
      </c>
      <c r="O19" s="28">
        <f>VLOOKUP(B19,[15]AKSoftSalesReport!$B:$C,2,0)</f>
        <v>176073</v>
      </c>
      <c r="P19" s="28">
        <f>VLOOKUP(B19,[16]AKSoftSalesReport!$B:$C,2,0)</f>
        <v>230415</v>
      </c>
      <c r="Q19" s="28">
        <f t="shared" si="6"/>
        <v>54342</v>
      </c>
      <c r="R19" s="28">
        <v>857738</v>
      </c>
      <c r="S19" s="179" t="s">
        <v>7</v>
      </c>
      <c r="T19" s="180">
        <v>792749</v>
      </c>
    </row>
    <row r="20" spans="1:20" x14ac:dyDescent="0.3">
      <c r="A20" s="86">
        <v>17</v>
      </c>
      <c r="B20" s="102" t="s">
        <v>150</v>
      </c>
      <c r="C20" s="70"/>
      <c r="D20" s="7">
        <f t="shared" si="2"/>
        <v>0</v>
      </c>
      <c r="E20" s="85">
        <f t="shared" si="3"/>
        <v>0</v>
      </c>
      <c r="F20" s="70">
        <v>0</v>
      </c>
      <c r="G20" s="7">
        <f t="shared" si="4"/>
        <v>0</v>
      </c>
      <c r="H20" s="85">
        <f t="shared" si="5"/>
        <v>0</v>
      </c>
      <c r="I20" s="73">
        <v>21032281.075068492</v>
      </c>
      <c r="J20" s="87">
        <v>27341965.397589039</v>
      </c>
      <c r="K20" s="176">
        <v>0.3</v>
      </c>
      <c r="L20" s="3">
        <v>27340000</v>
      </c>
      <c r="M20" s="30">
        <v>16631833.333333334</v>
      </c>
      <c r="N20" s="31">
        <f>M20-L20</f>
        <v>-10708166.666666666</v>
      </c>
      <c r="O20" s="28"/>
      <c r="P20" s="28"/>
      <c r="Q20" s="28">
        <f t="shared" si="6"/>
        <v>0</v>
      </c>
      <c r="R20" s="28">
        <v>0</v>
      </c>
      <c r="S20" s="177" t="s">
        <v>161</v>
      </c>
      <c r="T20" s="178">
        <v>1010609</v>
      </c>
    </row>
    <row r="21" spans="1:20" x14ac:dyDescent="0.3">
      <c r="A21" s="62">
        <v>18</v>
      </c>
      <c r="B21" s="106" t="s">
        <v>151</v>
      </c>
      <c r="C21" s="70"/>
      <c r="D21" s="7">
        <f t="shared" si="2"/>
        <v>0</v>
      </c>
      <c r="E21" s="85">
        <f t="shared" si="3"/>
        <v>0</v>
      </c>
      <c r="F21" s="70">
        <v>0</v>
      </c>
      <c r="G21" s="7">
        <f t="shared" si="4"/>
        <v>0</v>
      </c>
      <c r="H21" s="85">
        <f t="shared" si="5"/>
        <v>0</v>
      </c>
      <c r="I21" s="73">
        <v>20174337.600000001</v>
      </c>
      <c r="J21" s="87">
        <v>26226638.880000003</v>
      </c>
      <c r="K21" s="176">
        <v>0.3</v>
      </c>
      <c r="L21" s="3">
        <v>26225000</v>
      </c>
      <c r="M21" s="30">
        <v>13112500</v>
      </c>
      <c r="N21" s="31">
        <f>M21-L21</f>
        <v>-13112500</v>
      </c>
      <c r="O21" s="28"/>
      <c r="P21" s="28"/>
      <c r="Q21" s="28">
        <f t="shared" si="6"/>
        <v>0</v>
      </c>
      <c r="R21" s="28">
        <v>0</v>
      </c>
      <c r="S21" s="179" t="s">
        <v>162</v>
      </c>
      <c r="T21" s="180">
        <v>1335709</v>
      </c>
    </row>
    <row r="22" spans="1:20" x14ac:dyDescent="0.3">
      <c r="A22" s="86">
        <v>19</v>
      </c>
      <c r="B22" s="89" t="s">
        <v>79</v>
      </c>
      <c r="C22" s="70">
        <f t="shared" si="1"/>
        <v>835295</v>
      </c>
      <c r="D22" s="7">
        <f t="shared" si="2"/>
        <v>5.6188302773823841E-2</v>
      </c>
      <c r="E22" s="85">
        <f t="shared" si="3"/>
        <v>1085838.9511041457</v>
      </c>
      <c r="F22" s="6">
        <v>1161639</v>
      </c>
      <c r="G22" s="7">
        <f t="shared" si="4"/>
        <v>7.8140685441528981E-2</v>
      </c>
      <c r="H22" s="85">
        <f t="shared" si="5"/>
        <v>1510068.7461575475</v>
      </c>
      <c r="I22" s="73">
        <v>14865994.5</v>
      </c>
      <c r="J22" s="87">
        <v>19325792.850000001</v>
      </c>
      <c r="K22" s="176">
        <v>0.3</v>
      </c>
      <c r="L22" s="3">
        <v>19325000</v>
      </c>
      <c r="M22" s="30">
        <v>19324999.999999996</v>
      </c>
      <c r="N22" s="31">
        <f>M22-L22</f>
        <v>0</v>
      </c>
      <c r="O22" s="28">
        <f>VLOOKUP(B22,[15]AKSoftSalesReport!$B:$C,2,0)</f>
        <v>234573</v>
      </c>
      <c r="P22" s="28">
        <f>VLOOKUP(B22,[16]AKSoftSalesReport!$B:$C,2,0)</f>
        <v>269141</v>
      </c>
      <c r="Q22" s="28">
        <f t="shared" si="6"/>
        <v>34568</v>
      </c>
      <c r="R22" s="28">
        <v>1161639</v>
      </c>
      <c r="S22" s="177" t="s">
        <v>13</v>
      </c>
      <c r="T22" s="178">
        <v>778412</v>
      </c>
    </row>
    <row r="23" spans="1:20" x14ac:dyDescent="0.3">
      <c r="A23" s="62">
        <v>20</v>
      </c>
      <c r="B23" s="90" t="s">
        <v>16</v>
      </c>
      <c r="C23" s="70">
        <f t="shared" si="1"/>
        <v>585129</v>
      </c>
      <c r="D23" s="7">
        <f t="shared" si="2"/>
        <v>0.10059825746527236</v>
      </c>
      <c r="E23" s="85">
        <f t="shared" si="3"/>
        <v>702175.83710760111</v>
      </c>
      <c r="F23" s="6">
        <v>535152</v>
      </c>
      <c r="G23" s="7">
        <f t="shared" si="4"/>
        <v>9.2005965657240424E-2</v>
      </c>
      <c r="H23" s="85">
        <f t="shared" si="5"/>
        <v>642201.64028753818</v>
      </c>
      <c r="I23" s="73">
        <v>5816492.4000000004</v>
      </c>
      <c r="J23" s="87">
        <v>6979790.8800000008</v>
      </c>
      <c r="K23" s="176">
        <v>0.2</v>
      </c>
      <c r="L23" s="25">
        <v>6980000</v>
      </c>
      <c r="M23" s="30">
        <v>6980000</v>
      </c>
      <c r="N23" s="31">
        <f t="shared" si="0"/>
        <v>0</v>
      </c>
      <c r="O23" s="28">
        <f>VLOOKUP(B23,[15]AKSoftSalesReport!$B:$C,2,0)</f>
        <v>158307</v>
      </c>
      <c r="P23" s="28">
        <f>VLOOKUP(B23,[16]AKSoftSalesReport!$B:$C,2,0)</f>
        <v>128428</v>
      </c>
      <c r="Q23" s="28">
        <f t="shared" si="6"/>
        <v>-29879</v>
      </c>
      <c r="R23" s="28">
        <v>535152</v>
      </c>
      <c r="S23" s="179" t="s">
        <v>163</v>
      </c>
      <c r="T23" s="180">
        <v>766521</v>
      </c>
    </row>
    <row r="24" spans="1:20" x14ac:dyDescent="0.3">
      <c r="A24" s="86">
        <v>21</v>
      </c>
      <c r="B24" s="89" t="s">
        <v>71</v>
      </c>
      <c r="C24" s="70">
        <f t="shared" si="1"/>
        <v>640385</v>
      </c>
      <c r="D24" s="7">
        <f t="shared" si="2"/>
        <v>6.386598679312408E-2</v>
      </c>
      <c r="E24" s="85">
        <f t="shared" si="3"/>
        <v>832493.13784837234</v>
      </c>
      <c r="F24" s="6">
        <v>616324</v>
      </c>
      <c r="G24" s="7">
        <f t="shared" si="4"/>
        <v>6.1466368581845933E-2</v>
      </c>
      <c r="H24" s="85">
        <f t="shared" si="5"/>
        <v>801214.11446436169</v>
      </c>
      <c r="I24" s="73">
        <v>10027011.75</v>
      </c>
      <c r="J24" s="87">
        <v>13035115.275</v>
      </c>
      <c r="K24" s="176">
        <v>0.3</v>
      </c>
      <c r="L24" s="3">
        <v>13035000</v>
      </c>
      <c r="M24" s="30">
        <v>13035000</v>
      </c>
      <c r="N24" s="31">
        <f t="shared" si="0"/>
        <v>0</v>
      </c>
      <c r="O24" s="28">
        <f>VLOOKUP(B24,[15]AKSoftSalesReport!$B:$C,2,0)</f>
        <v>176196</v>
      </c>
      <c r="P24" s="28">
        <f>VLOOKUP(B24,[16]AKSoftSalesReport!$B:$C,2,0)</f>
        <v>155739</v>
      </c>
      <c r="Q24" s="28">
        <f t="shared" si="6"/>
        <v>-20457</v>
      </c>
      <c r="R24" s="28">
        <v>616324</v>
      </c>
      <c r="S24" s="177" t="s">
        <v>164</v>
      </c>
      <c r="T24" s="178">
        <v>20768</v>
      </c>
    </row>
    <row r="25" spans="1:20" x14ac:dyDescent="0.3">
      <c r="A25" s="62">
        <v>22</v>
      </c>
      <c r="B25" s="90" t="s">
        <v>74</v>
      </c>
      <c r="C25" s="70">
        <f t="shared" si="1"/>
        <v>516512</v>
      </c>
      <c r="D25" s="7">
        <f t="shared" si="2"/>
        <v>6.6101576373989793E-2</v>
      </c>
      <c r="E25" s="85">
        <f t="shared" si="3"/>
        <v>619702.27850615431</v>
      </c>
      <c r="F25" s="6">
        <v>502606</v>
      </c>
      <c r="G25" s="7">
        <f t="shared" si="4"/>
        <v>6.4321930361783491E-2</v>
      </c>
      <c r="H25" s="85">
        <f t="shared" si="5"/>
        <v>603018.09714172024</v>
      </c>
      <c r="I25" s="73">
        <v>7813913.5000000009</v>
      </c>
      <c r="J25" s="87">
        <v>9376696.2000000011</v>
      </c>
      <c r="K25" s="176">
        <v>0.2</v>
      </c>
      <c r="L25" s="3">
        <v>9375000</v>
      </c>
      <c r="M25" s="30">
        <v>9375000</v>
      </c>
      <c r="N25" s="31">
        <f>M25-L25</f>
        <v>0</v>
      </c>
      <c r="O25" s="28">
        <f>VLOOKUP(B25,[15]AKSoftSalesReport!$B:$C,2,0)</f>
        <v>142055</v>
      </c>
      <c r="P25" s="28">
        <f>VLOOKUP(B25,[16]AKSoftSalesReport!$B:$C,2,0)</f>
        <v>126556</v>
      </c>
      <c r="Q25" s="28">
        <f t="shared" si="6"/>
        <v>-15499</v>
      </c>
      <c r="R25" s="28">
        <v>502606</v>
      </c>
      <c r="S25" s="179" t="s">
        <v>16</v>
      </c>
      <c r="T25" s="180">
        <v>585129</v>
      </c>
    </row>
    <row r="26" spans="1:20" x14ac:dyDescent="0.3">
      <c r="A26" s="86">
        <v>23</v>
      </c>
      <c r="B26" s="89" t="s">
        <v>76</v>
      </c>
      <c r="C26" s="70">
        <f t="shared" si="1"/>
        <v>713070</v>
      </c>
      <c r="D26" s="7">
        <f t="shared" si="2"/>
        <v>6.4113199020165962E-2</v>
      </c>
      <c r="E26" s="85">
        <f t="shared" si="3"/>
        <v>855590.64092411473</v>
      </c>
      <c r="F26" s="6">
        <v>1021298</v>
      </c>
      <c r="G26" s="7">
        <f t="shared" si="4"/>
        <v>9.1826443312574432E-2</v>
      </c>
      <c r="H26" s="85">
        <f t="shared" si="5"/>
        <v>1225423.8860063057</v>
      </c>
      <c r="I26" s="73">
        <v>11122046.800000001</v>
      </c>
      <c r="J26" s="87">
        <v>13346456.16</v>
      </c>
      <c r="K26" s="176">
        <v>0.2</v>
      </c>
      <c r="L26" s="1">
        <v>13345000</v>
      </c>
      <c r="M26" s="30">
        <v>13345000</v>
      </c>
      <c r="N26" s="31">
        <f>M26-L26</f>
        <v>0</v>
      </c>
      <c r="O26" s="28">
        <f>VLOOKUP(B26,[15]AKSoftSalesReport!$B:$C,2,0)</f>
        <v>200411</v>
      </c>
      <c r="P26" s="28">
        <f>VLOOKUP(B26,[16]AKSoftSalesReport!$B:$C,2,0)</f>
        <v>271802</v>
      </c>
      <c r="Q26" s="28">
        <f t="shared" si="6"/>
        <v>71391</v>
      </c>
      <c r="R26" s="28">
        <v>1021298</v>
      </c>
      <c r="S26" s="177" t="s">
        <v>102</v>
      </c>
      <c r="T26" s="178">
        <v>447647</v>
      </c>
    </row>
    <row r="27" spans="1:20" x14ac:dyDescent="0.3">
      <c r="A27" s="62">
        <v>24</v>
      </c>
      <c r="B27" s="90" t="s">
        <v>72</v>
      </c>
      <c r="C27" s="70">
        <f t="shared" si="1"/>
        <v>809958</v>
      </c>
      <c r="D27" s="7">
        <f t="shared" si="2"/>
        <v>5.7989004488382657E-2</v>
      </c>
      <c r="E27" s="85">
        <f t="shared" si="3"/>
        <v>1004369.5577387876</v>
      </c>
      <c r="F27" s="6">
        <v>1015708</v>
      </c>
      <c r="G27" s="7">
        <f t="shared" si="4"/>
        <v>7.2719691355460622E-2</v>
      </c>
      <c r="H27" s="85">
        <f t="shared" si="5"/>
        <v>1259505.0542765779</v>
      </c>
      <c r="I27" s="73">
        <v>13967441.02</v>
      </c>
      <c r="J27" s="87">
        <v>17319626.864799999</v>
      </c>
      <c r="K27" s="176">
        <v>0.24</v>
      </c>
      <c r="L27" s="3">
        <v>17320000</v>
      </c>
      <c r="M27" s="30">
        <v>17320000</v>
      </c>
      <c r="N27" s="31">
        <f t="shared" si="0"/>
        <v>0</v>
      </c>
      <c r="O27" s="28">
        <f>VLOOKUP(B27,[15]AKSoftSalesReport!$B:$C,2,0)</f>
        <v>269887</v>
      </c>
      <c r="P27" s="28">
        <f>VLOOKUP(B27,[16]AKSoftSalesReport!$B:$C,2,0)</f>
        <v>249727</v>
      </c>
      <c r="Q27" s="28">
        <f t="shared" si="6"/>
        <v>-20160</v>
      </c>
      <c r="R27" s="28">
        <v>1015708</v>
      </c>
      <c r="S27" s="179" t="s">
        <v>165</v>
      </c>
      <c r="T27" s="180">
        <v>425960</v>
      </c>
    </row>
    <row r="28" spans="1:20" x14ac:dyDescent="0.3">
      <c r="A28" s="86">
        <v>25</v>
      </c>
      <c r="B28" s="89" t="s">
        <v>73</v>
      </c>
      <c r="C28" s="70">
        <f t="shared" si="1"/>
        <v>910630</v>
      </c>
      <c r="D28" s="7">
        <f t="shared" si="2"/>
        <v>6.3855066312556899E-2</v>
      </c>
      <c r="E28" s="85">
        <f t="shared" si="3"/>
        <v>1111078.1538384901</v>
      </c>
      <c r="F28" s="6">
        <v>1190723</v>
      </c>
      <c r="G28" s="7">
        <f t="shared" si="4"/>
        <v>8.3495707504570124E-2</v>
      </c>
      <c r="H28" s="85">
        <f t="shared" si="5"/>
        <v>1452825.3105795202</v>
      </c>
      <c r="I28" s="73">
        <v>14260888.800000001</v>
      </c>
      <c r="J28" s="87">
        <v>17398284.336000003</v>
      </c>
      <c r="K28" s="176">
        <v>0.22</v>
      </c>
      <c r="L28" s="1">
        <v>17400000</v>
      </c>
      <c r="M28" s="30">
        <v>17400000</v>
      </c>
      <c r="N28" s="31">
        <f t="shared" si="0"/>
        <v>0</v>
      </c>
      <c r="O28" s="28">
        <f>VLOOKUP(B28,[15]AKSoftSalesReport!$B:$C,2,0)</f>
        <v>247679</v>
      </c>
      <c r="P28" s="28">
        <f>VLOOKUP(B28,[16]AKSoftSalesReport!$B:$C,2,0)</f>
        <v>306122</v>
      </c>
      <c r="Q28" s="28">
        <f t="shared" si="6"/>
        <v>58443</v>
      </c>
      <c r="R28" s="28">
        <v>1190723</v>
      </c>
      <c r="S28" s="177" t="s">
        <v>149</v>
      </c>
      <c r="T28" s="178">
        <v>525586</v>
      </c>
    </row>
    <row r="29" spans="1:20" x14ac:dyDescent="0.3">
      <c r="A29" s="62">
        <v>26</v>
      </c>
      <c r="B29" s="90" t="s">
        <v>75</v>
      </c>
      <c r="C29" s="70">
        <f t="shared" si="1"/>
        <v>743525</v>
      </c>
      <c r="D29" s="7">
        <f t="shared" si="2"/>
        <v>7.0527933776126983E-2</v>
      </c>
      <c r="E29" s="85">
        <f t="shared" si="3"/>
        <v>892178.36226800631</v>
      </c>
      <c r="F29" s="6">
        <v>911689</v>
      </c>
      <c r="G29" s="7">
        <f t="shared" si="4"/>
        <v>8.6479326742777224E-2</v>
      </c>
      <c r="H29" s="85">
        <f t="shared" si="5"/>
        <v>1093963.4832961319</v>
      </c>
      <c r="I29" s="73">
        <v>10542276.800000001</v>
      </c>
      <c r="J29" s="87">
        <v>12650732.16</v>
      </c>
      <c r="K29" s="176">
        <v>0.2</v>
      </c>
      <c r="L29" s="3">
        <v>12650000</v>
      </c>
      <c r="M29" s="30">
        <v>12649999.999999998</v>
      </c>
      <c r="N29" s="31">
        <f t="shared" si="0"/>
        <v>0</v>
      </c>
      <c r="O29" s="28">
        <f>VLOOKUP(B29,[15]AKSoftSalesReport!$B:$C,2,0)</f>
        <v>214638</v>
      </c>
      <c r="P29" s="28">
        <f>VLOOKUP(B29,[16]AKSoftSalesReport!$B:$C,2,0)</f>
        <v>237287</v>
      </c>
      <c r="Q29" s="28">
        <f t="shared" si="6"/>
        <v>22649</v>
      </c>
      <c r="R29" s="28">
        <v>911689</v>
      </c>
      <c r="S29" s="179" t="s">
        <v>6</v>
      </c>
      <c r="T29" s="180">
        <v>1672629</v>
      </c>
    </row>
    <row r="30" spans="1:20" x14ac:dyDescent="0.3">
      <c r="A30" s="86">
        <v>27</v>
      </c>
      <c r="B30" s="89" t="s">
        <v>111</v>
      </c>
      <c r="C30" s="70">
        <f t="shared" si="1"/>
        <v>453938</v>
      </c>
      <c r="D30" s="7">
        <f t="shared" si="2"/>
        <v>4.9151257959844923E-2</v>
      </c>
      <c r="E30" s="85">
        <f t="shared" si="3"/>
        <v>544595.93819508178</v>
      </c>
      <c r="F30" s="6">
        <v>581091</v>
      </c>
      <c r="G30" s="7">
        <f t="shared" si="4"/>
        <v>6.2919063041966622E-2</v>
      </c>
      <c r="H30" s="85">
        <f t="shared" si="5"/>
        <v>697143.21850499022</v>
      </c>
      <c r="I30" s="73">
        <v>9235531.6800000016</v>
      </c>
      <c r="J30" s="87">
        <v>11082638.016000003</v>
      </c>
      <c r="K30" s="176">
        <v>0.2</v>
      </c>
      <c r="L30" s="1">
        <v>11080000</v>
      </c>
      <c r="M30" s="30">
        <v>11080000</v>
      </c>
      <c r="N30" s="31">
        <f t="shared" si="0"/>
        <v>0</v>
      </c>
      <c r="O30" s="28">
        <f>VLOOKUP(B30,[15]AKSoftSalesReport!$B:$C,2,0)</f>
        <v>134901</v>
      </c>
      <c r="P30" s="28">
        <f>VLOOKUP(B30,[16]AKSoftSalesReport!$B:$C,2,0)</f>
        <v>147794</v>
      </c>
      <c r="Q30" s="28">
        <f t="shared" si="6"/>
        <v>12893</v>
      </c>
      <c r="R30" s="28">
        <v>581091</v>
      </c>
      <c r="S30" s="177" t="s">
        <v>148</v>
      </c>
      <c r="T30" s="178">
        <v>920050</v>
      </c>
    </row>
    <row r="31" spans="1:20" x14ac:dyDescent="0.3">
      <c r="A31" s="62">
        <v>28</v>
      </c>
      <c r="B31" s="106" t="s">
        <v>149</v>
      </c>
      <c r="C31" s="70">
        <f t="shared" si="1"/>
        <v>525586</v>
      </c>
      <c r="D31" s="7">
        <f t="shared" si="2"/>
        <v>5.6868427827947432E-2</v>
      </c>
      <c r="E31" s="85">
        <f t="shared" si="3"/>
        <v>683274.1603527884</v>
      </c>
      <c r="F31" s="6">
        <v>599180</v>
      </c>
      <c r="G31" s="7">
        <f t="shared" si="4"/>
        <v>6.4831301796374988E-2</v>
      </c>
      <c r="H31" s="85">
        <f t="shared" si="5"/>
        <v>778948.09108344547</v>
      </c>
      <c r="I31" s="73">
        <v>9242140.5</v>
      </c>
      <c r="J31" s="87">
        <v>12014782.65</v>
      </c>
      <c r="K31" s="176">
        <v>0.3</v>
      </c>
      <c r="L31" s="1">
        <v>12015000</v>
      </c>
      <c r="M31" s="30">
        <v>11964000.07741713</v>
      </c>
      <c r="N31" s="31">
        <f t="shared" si="0"/>
        <v>-50999.922582870349</v>
      </c>
      <c r="O31" s="28">
        <f>VLOOKUP(B31,[15]AKSoftSalesReport!$B:$C,2,0)</f>
        <v>150509</v>
      </c>
      <c r="P31" s="28">
        <f>VLOOKUP(B31,[16]AKSoftSalesReport!$B:$C,2,0)</f>
        <v>157521</v>
      </c>
      <c r="Q31" s="28">
        <f t="shared" si="6"/>
        <v>7012</v>
      </c>
      <c r="R31" s="28">
        <v>599180</v>
      </c>
      <c r="S31" s="179" t="s">
        <v>11</v>
      </c>
      <c r="T31" s="180">
        <v>358974</v>
      </c>
    </row>
    <row r="32" spans="1:20" x14ac:dyDescent="0.3">
      <c r="A32" s="86">
        <v>29</v>
      </c>
      <c r="B32" s="89" t="s">
        <v>80</v>
      </c>
      <c r="C32" s="70">
        <f t="shared" si="1"/>
        <v>588374</v>
      </c>
      <c r="D32" s="7">
        <f t="shared" si="2"/>
        <v>9.1352377145050415E-2</v>
      </c>
      <c r="E32" s="85">
        <f t="shared" si="3"/>
        <v>706153.87533123966</v>
      </c>
      <c r="F32" s="6">
        <v>529301</v>
      </c>
      <c r="G32" s="7">
        <f t="shared" si="4"/>
        <v>8.2180559601974817E-2</v>
      </c>
      <c r="H32" s="85">
        <f t="shared" si="5"/>
        <v>635255.72572326532</v>
      </c>
      <c r="I32" s="73">
        <v>6440708.1500000004</v>
      </c>
      <c r="J32" s="87">
        <v>7728849.7800000003</v>
      </c>
      <c r="K32" s="176">
        <v>0.2</v>
      </c>
      <c r="L32" s="3">
        <v>7730000</v>
      </c>
      <c r="M32" s="30">
        <v>7730000</v>
      </c>
      <c r="N32" s="31">
        <f t="shared" si="0"/>
        <v>0</v>
      </c>
      <c r="O32" s="28">
        <f>VLOOKUP(B32,[15]AKSoftSalesReport!$B:$C,2,0)</f>
        <v>188254</v>
      </c>
      <c r="P32" s="28">
        <f>VLOOKUP(B32,[16]AKSoftSalesReport!$B:$C,2,0)</f>
        <v>136507</v>
      </c>
      <c r="Q32" s="28">
        <f t="shared" si="6"/>
        <v>-51747</v>
      </c>
      <c r="R32" s="28">
        <v>529301</v>
      </c>
      <c r="S32" s="177" t="s">
        <v>14</v>
      </c>
      <c r="T32" s="178">
        <v>253643</v>
      </c>
    </row>
    <row r="33" spans="1:20" x14ac:dyDescent="0.3">
      <c r="A33" s="62">
        <v>30</v>
      </c>
      <c r="B33" s="90" t="s">
        <v>81</v>
      </c>
      <c r="C33" s="70">
        <f t="shared" si="1"/>
        <v>820492</v>
      </c>
      <c r="D33" s="7">
        <f t="shared" si="2"/>
        <v>9.1466766572195171E-2</v>
      </c>
      <c r="E33" s="85">
        <f t="shared" si="3"/>
        <v>1066502.4982317956</v>
      </c>
      <c r="F33" s="6">
        <v>721582</v>
      </c>
      <c r="G33" s="7">
        <f t="shared" si="4"/>
        <v>8.0440482486968473E-2</v>
      </c>
      <c r="H33" s="85">
        <f t="shared" si="5"/>
        <v>937936.02579805243</v>
      </c>
      <c r="I33" s="73">
        <v>8970383.7880000006</v>
      </c>
      <c r="J33" s="87">
        <v>11661498.924400002</v>
      </c>
      <c r="K33" s="176">
        <v>0.3</v>
      </c>
      <c r="L33" s="3">
        <v>11660000</v>
      </c>
      <c r="M33" s="30">
        <v>11660000</v>
      </c>
      <c r="N33" s="31">
        <f t="shared" si="0"/>
        <v>0</v>
      </c>
      <c r="O33" s="28">
        <f>VLOOKUP(B33,[15]AKSoftSalesReport!$B:$C,2,0)</f>
        <v>250924</v>
      </c>
      <c r="P33" s="28">
        <f>VLOOKUP(B33,[16]AKSoftSalesReport!$B:$C,2,0)</f>
        <v>203936</v>
      </c>
      <c r="Q33" s="28">
        <f t="shared" si="6"/>
        <v>-46988</v>
      </c>
      <c r="R33" s="28">
        <v>721582</v>
      </c>
      <c r="S33" s="179" t="s">
        <v>139</v>
      </c>
      <c r="T33" s="180">
        <v>570498</v>
      </c>
    </row>
    <row r="34" spans="1:20" x14ac:dyDescent="0.3">
      <c r="A34" s="86">
        <v>31</v>
      </c>
      <c r="B34" s="89" t="s">
        <v>82</v>
      </c>
      <c r="C34" s="70">
        <f t="shared" si="1"/>
        <v>513852</v>
      </c>
      <c r="D34" s="7">
        <f t="shared" si="2"/>
        <v>5.4795482089617466E-2</v>
      </c>
      <c r="E34" s="85">
        <f t="shared" si="3"/>
        <v>667956.92667243688</v>
      </c>
      <c r="F34" s="6">
        <v>605292</v>
      </c>
      <c r="G34" s="7">
        <f t="shared" si="4"/>
        <v>6.4546342030368159E-2</v>
      </c>
      <c r="H34" s="85">
        <f t="shared" si="5"/>
        <v>786819.90935018787</v>
      </c>
      <c r="I34" s="73">
        <v>9377634.4400000013</v>
      </c>
      <c r="J34" s="87">
        <v>12190924.772000002</v>
      </c>
      <c r="K34" s="176">
        <v>0.3</v>
      </c>
      <c r="L34" s="3">
        <v>12190000</v>
      </c>
      <c r="M34" s="30">
        <v>12189999.999999998</v>
      </c>
      <c r="N34" s="31">
        <f t="shared" si="0"/>
        <v>0</v>
      </c>
      <c r="O34" s="28">
        <f>VLOOKUP(B34,[15]AKSoftSalesReport!$B:$C,2,0)</f>
        <v>145315</v>
      </c>
      <c r="P34" s="28">
        <f>VLOOKUP(B34,[16]AKSoftSalesReport!$B:$C,2,0)</f>
        <v>147497</v>
      </c>
      <c r="Q34" s="28">
        <f t="shared" si="6"/>
        <v>2182</v>
      </c>
      <c r="R34" s="28">
        <v>605292</v>
      </c>
      <c r="S34" s="177" t="s">
        <v>123</v>
      </c>
      <c r="T34" s="178">
        <v>3248132</v>
      </c>
    </row>
    <row r="35" spans="1:20" x14ac:dyDescent="0.3">
      <c r="A35" s="62">
        <v>32</v>
      </c>
      <c r="B35" s="90" t="s">
        <v>83</v>
      </c>
      <c r="C35" s="70">
        <f t="shared" si="1"/>
        <v>370506</v>
      </c>
      <c r="D35" s="7">
        <f t="shared" si="2"/>
        <v>6.2309254049979168E-2</v>
      </c>
      <c r="E35" s="85">
        <f t="shared" si="3"/>
        <v>444576.52764660137</v>
      </c>
      <c r="F35" s="6">
        <v>467666</v>
      </c>
      <c r="G35" s="7">
        <f t="shared" si="4"/>
        <v>7.8648981675161961E-2</v>
      </c>
      <c r="H35" s="85">
        <f t="shared" si="5"/>
        <v>561160.48425228056</v>
      </c>
      <c r="I35" s="103">
        <v>5946243.5499999998</v>
      </c>
      <c r="J35" s="87">
        <v>7135492.2599999998</v>
      </c>
      <c r="K35" s="176">
        <v>0.2</v>
      </c>
      <c r="L35" s="3">
        <v>7135000</v>
      </c>
      <c r="M35" s="30">
        <v>7135000.0000000009</v>
      </c>
      <c r="N35" s="31">
        <f t="shared" si="0"/>
        <v>0</v>
      </c>
      <c r="O35" s="28">
        <f>VLOOKUP(B35,[15]AKSoftSalesReport!$B:$C,2,0)</f>
        <v>93484</v>
      </c>
      <c r="P35" s="28">
        <f>VLOOKUP(B35,[16]AKSoftSalesReport!$B:$C,2,0)</f>
        <v>132289</v>
      </c>
      <c r="Q35" s="28">
        <f t="shared" si="6"/>
        <v>38805</v>
      </c>
      <c r="R35" s="28">
        <v>467666</v>
      </c>
      <c r="S35" s="179" t="s">
        <v>18</v>
      </c>
      <c r="T35" s="180">
        <v>1524331</v>
      </c>
    </row>
    <row r="36" spans="1:20" x14ac:dyDescent="0.3">
      <c r="A36" s="86">
        <v>33</v>
      </c>
      <c r="B36" s="89" t="s">
        <v>84</v>
      </c>
      <c r="C36" s="70">
        <f t="shared" si="1"/>
        <v>423646</v>
      </c>
      <c r="D36" s="7">
        <f t="shared" si="2"/>
        <v>7.4426170171524114E-2</v>
      </c>
      <c r="E36" s="85">
        <f t="shared" si="3"/>
        <v>508330.74227150972</v>
      </c>
      <c r="F36" s="6">
        <v>455404</v>
      </c>
      <c r="G36" s="7">
        <f t="shared" si="4"/>
        <v>8.0005418676897144E-2</v>
      </c>
      <c r="H36" s="85">
        <f t="shared" si="5"/>
        <v>546437.00956320751</v>
      </c>
      <c r="I36" s="73">
        <v>5692164.4500000002</v>
      </c>
      <c r="J36" s="87">
        <v>6830597.3399999999</v>
      </c>
      <c r="K36" s="176">
        <v>0.2</v>
      </c>
      <c r="L36" s="3">
        <v>6830000</v>
      </c>
      <c r="M36" s="30">
        <v>6830000</v>
      </c>
      <c r="N36" s="31">
        <f t="shared" si="0"/>
        <v>0</v>
      </c>
      <c r="O36" s="28">
        <f>VLOOKUP(B36,[15]AKSoftSalesReport!$B:$C,2,0)</f>
        <v>126980</v>
      </c>
      <c r="P36" s="28">
        <f>VLOOKUP(B36,[16]AKSoftSalesReport!$B:$C,2,0)</f>
        <v>120203</v>
      </c>
      <c r="Q36" s="28">
        <f t="shared" si="6"/>
        <v>-6777</v>
      </c>
      <c r="R36" s="28">
        <v>455404</v>
      </c>
      <c r="S36" s="177" t="s">
        <v>121</v>
      </c>
      <c r="T36" s="178">
        <v>185199</v>
      </c>
    </row>
    <row r="37" spans="1:20" x14ac:dyDescent="0.3">
      <c r="A37" s="62">
        <v>34</v>
      </c>
      <c r="B37" s="90" t="s">
        <v>113</v>
      </c>
      <c r="C37" s="70">
        <f t="shared" si="1"/>
        <v>405061</v>
      </c>
      <c r="D37" s="7">
        <f t="shared" si="2"/>
        <v>6.2086956870946494E-2</v>
      </c>
      <c r="E37" s="85">
        <f t="shared" si="3"/>
        <v>526497.39426562632</v>
      </c>
      <c r="F37" s="6">
        <v>357888</v>
      </c>
      <c r="G37" s="7">
        <f t="shared" si="4"/>
        <v>5.4856371807281618E-2</v>
      </c>
      <c r="H37" s="85">
        <f t="shared" si="5"/>
        <v>465182.03292574809</v>
      </c>
      <c r="I37" s="73">
        <v>6524091.7000000002</v>
      </c>
      <c r="J37" s="87">
        <v>8481319.2100000009</v>
      </c>
      <c r="K37" s="176">
        <v>0.3</v>
      </c>
      <c r="L37" s="1">
        <v>8480000</v>
      </c>
      <c r="M37" s="30">
        <v>8480000</v>
      </c>
      <c r="N37" s="31">
        <f t="shared" si="0"/>
        <v>0</v>
      </c>
      <c r="O37" s="28">
        <f>VLOOKUP(B37,[15]AKSoftSalesReport!$B:$C,2,0)</f>
        <v>113163</v>
      </c>
      <c r="P37" s="28">
        <f>VLOOKUP(B37,[16]AKSoftSalesReport!$B:$C,2,0)</f>
        <v>91538</v>
      </c>
      <c r="Q37" s="28">
        <f t="shared" si="6"/>
        <v>-21625</v>
      </c>
      <c r="R37" s="28">
        <v>357888</v>
      </c>
      <c r="S37" s="179" t="s">
        <v>166</v>
      </c>
      <c r="T37" s="180">
        <v>3879171</v>
      </c>
    </row>
    <row r="38" spans="1:20" x14ac:dyDescent="0.3">
      <c r="A38" s="86">
        <v>35</v>
      </c>
      <c r="B38" s="89" t="s">
        <v>118</v>
      </c>
      <c r="C38" s="70">
        <f t="shared" si="1"/>
        <v>801097</v>
      </c>
      <c r="D38" s="7">
        <f t="shared" si="2"/>
        <v>8.9287367024520684E-2</v>
      </c>
      <c r="E38" s="85">
        <f t="shared" si="3"/>
        <v>1081270.0146669454</v>
      </c>
      <c r="F38" s="6">
        <v>959734</v>
      </c>
      <c r="G38" s="7">
        <f t="shared" si="4"/>
        <v>0.10696847186284723</v>
      </c>
      <c r="H38" s="85">
        <f t="shared" si="5"/>
        <v>1295388.1942590801</v>
      </c>
      <c r="I38" s="73">
        <v>8972120.3200000003</v>
      </c>
      <c r="J38" s="87">
        <v>12112362.432</v>
      </c>
      <c r="K38" s="176">
        <v>0.35</v>
      </c>
      <c r="L38" s="1">
        <v>12110000</v>
      </c>
      <c r="M38" s="30">
        <v>12110000</v>
      </c>
      <c r="N38" s="31">
        <f t="shared" si="0"/>
        <v>0</v>
      </c>
      <c r="O38" s="28">
        <f>VLOOKUP(B38,[15]AKSoftSalesReport!$B:$C,2,0)</f>
        <v>244253</v>
      </c>
      <c r="P38" s="28">
        <f>VLOOKUP(B38,[16]AKSoftSalesReport!$B:$C,2,0)</f>
        <v>290542</v>
      </c>
      <c r="Q38" s="28">
        <f t="shared" si="6"/>
        <v>46289</v>
      </c>
      <c r="R38" s="28">
        <v>959734</v>
      </c>
      <c r="S38" s="177" t="s">
        <v>167</v>
      </c>
      <c r="T38" s="178">
        <v>801097</v>
      </c>
    </row>
    <row r="39" spans="1:20" x14ac:dyDescent="0.3">
      <c r="A39" s="62">
        <v>36</v>
      </c>
      <c r="B39" s="90" t="s">
        <v>114</v>
      </c>
      <c r="C39" s="70">
        <f t="shared" si="1"/>
        <v>1411314</v>
      </c>
      <c r="D39" s="7">
        <f t="shared" si="2"/>
        <v>8.2858737512416639E-2</v>
      </c>
      <c r="E39" s="85">
        <f t="shared" si="3"/>
        <v>1905336.6690980205</v>
      </c>
      <c r="F39" s="6">
        <v>1161305</v>
      </c>
      <c r="G39" s="7">
        <f t="shared" si="4"/>
        <v>6.8180621865054136E-2</v>
      </c>
      <c r="H39" s="85">
        <f t="shared" si="5"/>
        <v>1567813.3997869198</v>
      </c>
      <c r="I39" s="73">
        <v>17032772.190000001</v>
      </c>
      <c r="J39" s="87">
        <v>22994242.456500001</v>
      </c>
      <c r="K39" s="176">
        <v>0.35</v>
      </c>
      <c r="L39" s="1">
        <v>22995000</v>
      </c>
      <c r="M39" s="30">
        <v>22994999.999999996</v>
      </c>
      <c r="N39" s="31">
        <f t="shared" si="0"/>
        <v>0</v>
      </c>
      <c r="O39" s="28">
        <f>VLOOKUP(B39,[15]AKSoftSalesReport!$B:$C,2,0)</f>
        <v>357735</v>
      </c>
      <c r="P39" s="28">
        <f>VLOOKUP(B39,[16]AKSoftSalesReport!$B:$C,2,0)</f>
        <v>302937</v>
      </c>
      <c r="Q39" s="28">
        <f t="shared" si="6"/>
        <v>-54798</v>
      </c>
      <c r="R39" s="28">
        <v>1161305</v>
      </c>
      <c r="S39" s="179" t="s">
        <v>168</v>
      </c>
      <c r="T39" s="180">
        <v>858971</v>
      </c>
    </row>
    <row r="40" spans="1:20" x14ac:dyDescent="0.3">
      <c r="A40" s="86">
        <v>37</v>
      </c>
      <c r="B40" s="89" t="s">
        <v>115</v>
      </c>
      <c r="C40" s="70">
        <f t="shared" si="1"/>
        <v>467852</v>
      </c>
      <c r="D40" s="7">
        <f t="shared" si="2"/>
        <v>5.3813987603269789E-2</v>
      </c>
      <c r="E40" s="85">
        <f t="shared" si="3"/>
        <v>608098.05991694867</v>
      </c>
      <c r="F40" s="6">
        <v>603812</v>
      </c>
      <c r="G40" s="7">
        <f t="shared" si="4"/>
        <v>6.9452586464748556E-2</v>
      </c>
      <c r="H40" s="85">
        <f t="shared" si="5"/>
        <v>784814.22705165867</v>
      </c>
      <c r="I40" s="73">
        <v>8693873.4860000014</v>
      </c>
      <c r="J40" s="87">
        <v>11302035.531800002</v>
      </c>
      <c r="K40" s="176">
        <v>0.3</v>
      </c>
      <c r="L40" s="1">
        <v>11300000</v>
      </c>
      <c r="M40" s="30">
        <v>11300000</v>
      </c>
      <c r="N40" s="31">
        <f t="shared" si="0"/>
        <v>0</v>
      </c>
      <c r="O40" s="28">
        <f>VLOOKUP(B40,[15]AKSoftSalesReport!$B:$C,2,0)</f>
        <v>136861</v>
      </c>
      <c r="P40" s="28">
        <f>VLOOKUP(B40,[16]AKSoftSalesReport!$B:$C,2,0)</f>
        <v>151828</v>
      </c>
      <c r="Q40" s="28">
        <f t="shared" si="6"/>
        <v>14967</v>
      </c>
      <c r="R40" s="28">
        <v>603812</v>
      </c>
      <c r="S40" s="177" t="s">
        <v>169</v>
      </c>
      <c r="T40" s="178">
        <v>453938</v>
      </c>
    </row>
    <row r="41" spans="1:20" x14ac:dyDescent="0.3">
      <c r="A41" s="62">
        <v>38</v>
      </c>
      <c r="B41" s="90" t="s">
        <v>116</v>
      </c>
      <c r="C41" s="70">
        <f t="shared" si="1"/>
        <v>858971</v>
      </c>
      <c r="D41" s="7">
        <f t="shared" si="2"/>
        <v>7.0971683551587492E-2</v>
      </c>
      <c r="E41" s="85">
        <f t="shared" si="3"/>
        <v>1099351.3782140901</v>
      </c>
      <c r="F41" s="6">
        <v>1132452</v>
      </c>
      <c r="G41" s="7">
        <f t="shared" si="4"/>
        <v>9.3567797959840743E-2</v>
      </c>
      <c r="H41" s="85">
        <f t="shared" si="5"/>
        <v>1449365.1903979331</v>
      </c>
      <c r="I41" s="73">
        <v>12103010.060000001</v>
      </c>
      <c r="J41" s="87">
        <v>15491852.876800001</v>
      </c>
      <c r="K41" s="176">
        <v>0.28000000000000003</v>
      </c>
      <c r="L41" s="1">
        <v>15490000</v>
      </c>
      <c r="M41" s="30">
        <v>15490000.000000002</v>
      </c>
      <c r="N41" s="31">
        <f t="shared" si="0"/>
        <v>0</v>
      </c>
      <c r="O41" s="28">
        <f>VLOOKUP(B41,[15]AKSoftSalesReport!$B:$C,2,0)</f>
        <v>253836</v>
      </c>
      <c r="P41" s="28">
        <f>VLOOKUP(B41,[16]AKSoftSalesReport!$B:$C,2,0)</f>
        <v>299240</v>
      </c>
      <c r="Q41" s="28">
        <f t="shared" si="6"/>
        <v>45404</v>
      </c>
      <c r="R41" s="28">
        <v>1132452</v>
      </c>
      <c r="S41" s="179" t="s">
        <v>8</v>
      </c>
      <c r="T41" s="180">
        <v>1834513</v>
      </c>
    </row>
    <row r="42" spans="1:20" x14ac:dyDescent="0.3">
      <c r="A42" s="86">
        <v>39</v>
      </c>
      <c r="B42" s="89" t="s">
        <v>121</v>
      </c>
      <c r="C42" s="70">
        <f t="shared" si="1"/>
        <v>185199</v>
      </c>
      <c r="D42" s="7">
        <f t="shared" si="2"/>
        <v>4.9852092779651573E-2</v>
      </c>
      <c r="E42" s="85">
        <f t="shared" si="3"/>
        <v>240785.60812571709</v>
      </c>
      <c r="F42" s="6">
        <v>266938</v>
      </c>
      <c r="G42" s="7">
        <f t="shared" si="4"/>
        <v>7.1854696528677972E-2</v>
      </c>
      <c r="H42" s="85">
        <f t="shared" si="5"/>
        <v>347058.18423351459</v>
      </c>
      <c r="I42" s="104">
        <v>3714969.4159999997</v>
      </c>
      <c r="J42" s="87">
        <v>4829460.2407999998</v>
      </c>
      <c r="K42" s="176">
        <v>0.3</v>
      </c>
      <c r="L42" s="1">
        <v>4830000</v>
      </c>
      <c r="M42" s="30">
        <v>4830000</v>
      </c>
      <c r="N42" s="31">
        <f t="shared" si="0"/>
        <v>0</v>
      </c>
      <c r="O42" s="28">
        <f>VLOOKUP(B42,[15]AKSoftSalesReport!$B:$C,2,0)</f>
        <v>52979</v>
      </c>
      <c r="P42" s="28">
        <f>VLOOKUP(B42,[16]AKSoftSalesReport!$B:$C,2,0)</f>
        <v>77821</v>
      </c>
      <c r="Q42" s="28">
        <f t="shared" si="6"/>
        <v>24842</v>
      </c>
      <c r="R42" s="28">
        <v>266938</v>
      </c>
      <c r="S42" s="177" t="s">
        <v>53</v>
      </c>
      <c r="T42" s="178">
        <v>516512</v>
      </c>
    </row>
    <row r="43" spans="1:20" x14ac:dyDescent="0.3">
      <c r="A43" s="62">
        <v>40</v>
      </c>
      <c r="B43" s="90" t="s">
        <v>77</v>
      </c>
      <c r="C43" s="70">
        <f t="shared" si="1"/>
        <v>1317646</v>
      </c>
      <c r="D43" s="7">
        <f t="shared" si="2"/>
        <v>6.1893393929121999E-2</v>
      </c>
      <c r="E43" s="85">
        <f t="shared" si="3"/>
        <v>1581376.214889067</v>
      </c>
      <c r="F43" s="6">
        <v>1650321</v>
      </c>
      <c r="G43" s="7">
        <f t="shared" si="4"/>
        <v>7.752003782692965E-2</v>
      </c>
      <c r="H43" s="85">
        <f t="shared" si="5"/>
        <v>1980636.9664780525</v>
      </c>
      <c r="I43" s="73">
        <v>21288960.200000003</v>
      </c>
      <c r="J43" s="87">
        <v>25546752.240000002</v>
      </c>
      <c r="K43" s="176">
        <v>0.2</v>
      </c>
      <c r="L43" s="25">
        <v>25550000</v>
      </c>
      <c r="M43" s="30">
        <v>25549999.999999993</v>
      </c>
      <c r="N43" s="31">
        <f t="shared" si="0"/>
        <v>0</v>
      </c>
      <c r="O43" s="28">
        <f>VLOOKUP(B43,[15]AKSoftSalesReport!$B:$C,2,0)</f>
        <v>380280</v>
      </c>
      <c r="P43" s="28">
        <f>VLOOKUP(B43,[16]AKSoftSalesReport!$B:$C,2,0)</f>
        <v>435202</v>
      </c>
      <c r="Q43" s="28">
        <f t="shared" si="6"/>
        <v>54922</v>
      </c>
      <c r="R43" s="28">
        <v>1650321</v>
      </c>
      <c r="S43" s="179" t="s">
        <v>122</v>
      </c>
      <c r="T43" s="180">
        <v>811390</v>
      </c>
    </row>
    <row r="44" spans="1:20" x14ac:dyDescent="0.3">
      <c r="A44" s="86">
        <v>41</v>
      </c>
      <c r="B44" s="89" t="s">
        <v>64</v>
      </c>
      <c r="C44" s="70">
        <f t="shared" si="1"/>
        <v>539063</v>
      </c>
      <c r="D44" s="7">
        <f t="shared" si="2"/>
        <v>6.0852941216047271E-2</v>
      </c>
      <c r="E44" s="85">
        <f t="shared" si="3"/>
        <v>727801.17694392533</v>
      </c>
      <c r="F44" s="6">
        <v>630495</v>
      </c>
      <c r="G44" s="7">
        <f t="shared" si="4"/>
        <v>7.1174380679088947E-2</v>
      </c>
      <c r="H44" s="85">
        <f t="shared" si="5"/>
        <v>851245.59292190382</v>
      </c>
      <c r="I44" s="73">
        <v>8858454.3200000003</v>
      </c>
      <c r="J44" s="87">
        <v>11958913.332</v>
      </c>
      <c r="K44" s="176">
        <v>0.35</v>
      </c>
      <c r="L44" s="1">
        <v>11960000</v>
      </c>
      <c r="M44" s="30">
        <v>11959999.999999998</v>
      </c>
      <c r="N44" s="31">
        <f t="shared" si="0"/>
        <v>0</v>
      </c>
      <c r="O44" s="28">
        <f>VLOOKUP(B44,[15]AKSoftSalesReport!$B:$C,2,0)</f>
        <v>153904</v>
      </c>
      <c r="P44" s="28">
        <f>VLOOKUP(B44,[16]AKSoftSalesReport!$B:$C,2,0)</f>
        <v>155092</v>
      </c>
      <c r="Q44" s="28">
        <f t="shared" si="6"/>
        <v>1188</v>
      </c>
      <c r="R44" s="28">
        <v>630495</v>
      </c>
      <c r="S44" s="177" t="s">
        <v>17</v>
      </c>
      <c r="T44" s="178">
        <v>2305310</v>
      </c>
    </row>
    <row r="45" spans="1:20" x14ac:dyDescent="0.3">
      <c r="A45" s="62">
        <v>42</v>
      </c>
      <c r="B45" s="90" t="s">
        <v>13</v>
      </c>
      <c r="C45" s="70">
        <f t="shared" si="1"/>
        <v>778412</v>
      </c>
      <c r="D45" s="7">
        <f t="shared" si="2"/>
        <v>4.9777999714772113E-2</v>
      </c>
      <c r="E45" s="85">
        <f t="shared" si="3"/>
        <v>1011986.7342013171</v>
      </c>
      <c r="F45" s="6">
        <v>1175937</v>
      </c>
      <c r="G45" s="7">
        <f t="shared" si="4"/>
        <v>7.5198984150539785E-2</v>
      </c>
      <c r="H45" s="85">
        <f t="shared" si="5"/>
        <v>1528795.3477804738</v>
      </c>
      <c r="I45" s="73">
        <v>15637671.35</v>
      </c>
      <c r="J45" s="87">
        <v>20328972.754999999</v>
      </c>
      <c r="K45" s="176">
        <v>0.3</v>
      </c>
      <c r="L45" s="25">
        <v>20330000</v>
      </c>
      <c r="M45" s="30">
        <v>20330000</v>
      </c>
      <c r="N45" s="31">
        <f t="shared" si="0"/>
        <v>0</v>
      </c>
      <c r="O45" s="28">
        <f>VLOOKUP(B45,[15]AKSoftSalesReport!$B:$C,2,0)</f>
        <v>234965</v>
      </c>
      <c r="P45" s="28">
        <f>VLOOKUP(B45,[16]AKSoftSalesReport!$B:$C,2,0)</f>
        <v>309911</v>
      </c>
      <c r="Q45" s="28">
        <f t="shared" si="6"/>
        <v>74946</v>
      </c>
      <c r="R45" s="28">
        <v>1175937</v>
      </c>
      <c r="S45" s="179" t="s">
        <v>147</v>
      </c>
      <c r="T45" s="180">
        <v>629623</v>
      </c>
    </row>
    <row r="46" spans="1:20" x14ac:dyDescent="0.3">
      <c r="A46" s="86">
        <v>43</v>
      </c>
      <c r="B46" s="89" t="s">
        <v>14</v>
      </c>
      <c r="C46" s="70">
        <f t="shared" si="1"/>
        <v>253643</v>
      </c>
      <c r="D46" s="7">
        <f t="shared" si="2"/>
        <v>5.7216051109634028E-2</v>
      </c>
      <c r="E46" s="85">
        <f t="shared" si="3"/>
        <v>304389.39190325304</v>
      </c>
      <c r="F46" s="6">
        <v>296184</v>
      </c>
      <c r="G46" s="7">
        <f t="shared" si="4"/>
        <v>6.6812326308456557E-2</v>
      </c>
      <c r="H46" s="85">
        <f t="shared" si="5"/>
        <v>355441.57596098888</v>
      </c>
      <c r="I46" s="73">
        <v>4433074.2</v>
      </c>
      <c r="J46" s="87">
        <v>5319689.04</v>
      </c>
      <c r="K46" s="176">
        <v>0.2</v>
      </c>
      <c r="L46" s="25">
        <v>5320000</v>
      </c>
      <c r="M46" s="30">
        <v>5319999.9999999991</v>
      </c>
      <c r="N46" s="31">
        <f t="shared" si="0"/>
        <v>0</v>
      </c>
      <c r="O46" s="28">
        <f>VLOOKUP(B46,[15]AKSoftSalesReport!$B:$C,2,0)</f>
        <v>86071</v>
      </c>
      <c r="P46" s="28">
        <f>VLOOKUP(B46,[16]AKSoftSalesReport!$B:$C,2,0)</f>
        <v>77170</v>
      </c>
      <c r="Q46" s="28">
        <f t="shared" si="6"/>
        <v>-8901</v>
      </c>
      <c r="R46" s="28">
        <v>296184</v>
      </c>
      <c r="S46" s="177" t="s">
        <v>170</v>
      </c>
      <c r="T46" s="178">
        <v>227344</v>
      </c>
    </row>
    <row r="47" spans="1:20" x14ac:dyDescent="0.3">
      <c r="A47" s="62">
        <v>44</v>
      </c>
      <c r="B47" s="90" t="s">
        <v>15</v>
      </c>
      <c r="C47" s="70">
        <f t="shared" si="1"/>
        <v>384482</v>
      </c>
      <c r="D47" s="7">
        <f t="shared" si="2"/>
        <v>5.5385211447588859E-2</v>
      </c>
      <c r="E47" s="85">
        <f t="shared" si="3"/>
        <v>461358.81135841517</v>
      </c>
      <c r="F47" s="6">
        <v>478234</v>
      </c>
      <c r="G47" s="7">
        <f t="shared" si="4"/>
        <v>6.8890328315567989E-2</v>
      </c>
      <c r="H47" s="85">
        <f t="shared" si="5"/>
        <v>573856.43486868136</v>
      </c>
      <c r="I47" s="73">
        <v>6941961.4000000004</v>
      </c>
      <c r="J47" s="87">
        <v>8330353.6800000006</v>
      </c>
      <c r="K47" s="176">
        <v>0.2</v>
      </c>
      <c r="L47" s="25">
        <v>8330000</v>
      </c>
      <c r="M47" s="30">
        <v>8329999.9999999991</v>
      </c>
      <c r="N47" s="31">
        <f t="shared" si="0"/>
        <v>0</v>
      </c>
      <c r="O47" s="28">
        <f>VLOOKUP(B47,[15]AKSoftSalesReport!$B:$C,2,0)</f>
        <v>100664</v>
      </c>
      <c r="P47" s="28">
        <f>VLOOKUP(B47,[16]AKSoftSalesReport!$B:$C,2,0)</f>
        <v>124164</v>
      </c>
      <c r="Q47" s="28">
        <f t="shared" si="6"/>
        <v>23500</v>
      </c>
      <c r="R47" s="28">
        <v>478234</v>
      </c>
      <c r="S47" s="179" t="s">
        <v>101</v>
      </c>
      <c r="T47" s="180">
        <v>792675</v>
      </c>
    </row>
    <row r="48" spans="1:20" x14ac:dyDescent="0.3">
      <c r="A48" s="86">
        <v>45</v>
      </c>
      <c r="B48" s="89" t="s">
        <v>86</v>
      </c>
      <c r="C48" s="70">
        <f t="shared" si="1"/>
        <v>1026318</v>
      </c>
      <c r="D48" s="7">
        <f t="shared" si="2"/>
        <v>5.7742424778912213E-2</v>
      </c>
      <c r="E48" s="85">
        <f t="shared" si="3"/>
        <v>1334138.7245167666</v>
      </c>
      <c r="F48" s="6">
        <v>1338297</v>
      </c>
      <c r="G48" s="7">
        <f t="shared" si="4"/>
        <v>7.5294902607519185E-2</v>
      </c>
      <c r="H48" s="85">
        <f t="shared" si="5"/>
        <v>1739688.7247467306</v>
      </c>
      <c r="I48" s="73">
        <v>17774071.732000001</v>
      </c>
      <c r="J48" s="87">
        <v>23106293.251600001</v>
      </c>
      <c r="K48" s="176">
        <v>0.3</v>
      </c>
      <c r="L48" s="1">
        <v>23105000</v>
      </c>
      <c r="M48" s="30">
        <v>23104999.999999993</v>
      </c>
      <c r="N48" s="31">
        <f t="shared" si="0"/>
        <v>0</v>
      </c>
      <c r="O48" s="28">
        <f>VLOOKUP(B48,[15]AKSoftSalesReport!$B:$C,2,0)</f>
        <v>291620</v>
      </c>
      <c r="P48" s="28">
        <f>VLOOKUP(B48,[16]AKSoftSalesReport!$B:$C,2,0)</f>
        <v>356196</v>
      </c>
      <c r="Q48" s="28">
        <f t="shared" si="6"/>
        <v>64576</v>
      </c>
      <c r="R48" s="28">
        <v>1338297</v>
      </c>
      <c r="S48" s="177" t="s">
        <v>100</v>
      </c>
      <c r="T48" s="178">
        <v>654969</v>
      </c>
    </row>
    <row r="49" spans="1:20" x14ac:dyDescent="0.3">
      <c r="A49" s="62">
        <v>46</v>
      </c>
      <c r="B49" s="90" t="s">
        <v>78</v>
      </c>
      <c r="C49" s="70">
        <f t="shared" si="1"/>
        <v>81489</v>
      </c>
      <c r="D49" s="7">
        <f t="shared" si="2"/>
        <v>2.2806605074270219E-2</v>
      </c>
      <c r="E49" s="85">
        <f t="shared" si="3"/>
        <v>97840.335768619247</v>
      </c>
      <c r="F49" s="6">
        <v>401865</v>
      </c>
      <c r="G49" s="7">
        <f t="shared" si="4"/>
        <v>0.11247133169104544</v>
      </c>
      <c r="H49" s="85">
        <f t="shared" si="5"/>
        <v>482502.0129545849</v>
      </c>
      <c r="I49" s="73">
        <v>3573043.85</v>
      </c>
      <c r="J49" s="87">
        <v>4287652.62</v>
      </c>
      <c r="K49" s="176">
        <v>0.2</v>
      </c>
      <c r="L49" s="3">
        <v>4290000</v>
      </c>
      <c r="M49" s="30">
        <v>4290000</v>
      </c>
      <c r="N49" s="31">
        <f t="shared" si="0"/>
        <v>0</v>
      </c>
      <c r="O49" s="28">
        <f>VLOOKUP(B49,[15]AKSoftSalesReport!$B:$C,2,0)</f>
        <v>15842</v>
      </c>
      <c r="P49" s="28">
        <f>VLOOKUP(B49,[16]AKSoftSalesReport!$B:$C,2,0)</f>
        <v>140663</v>
      </c>
      <c r="Q49" s="28">
        <f t="shared" si="6"/>
        <v>124821</v>
      </c>
      <c r="R49" s="28">
        <v>401865</v>
      </c>
      <c r="S49" s="179" t="s">
        <v>54</v>
      </c>
      <c r="T49" s="180">
        <v>743525</v>
      </c>
    </row>
    <row r="50" spans="1:20" x14ac:dyDescent="0.3">
      <c r="A50" s="86">
        <v>47</v>
      </c>
      <c r="B50" s="89" t="s">
        <v>61</v>
      </c>
      <c r="C50" s="70">
        <f t="shared" si="1"/>
        <v>59403</v>
      </c>
      <c r="D50" s="7">
        <f t="shared" si="2"/>
        <v>1.8105813019355134E-2</v>
      </c>
      <c r="E50" s="85">
        <f t="shared" si="3"/>
        <v>76044.414681291557</v>
      </c>
      <c r="F50" s="6">
        <v>132244</v>
      </c>
      <c r="G50" s="7">
        <f t="shared" si="4"/>
        <v>4.0307478358527354E-2</v>
      </c>
      <c r="H50" s="85">
        <f t="shared" si="5"/>
        <v>169291.40910581488</v>
      </c>
      <c r="I50" s="103">
        <v>3280880.01</v>
      </c>
      <c r="J50" s="87">
        <v>4199526.4128</v>
      </c>
      <c r="K50" s="176">
        <v>0.28000000000000003</v>
      </c>
      <c r="L50" s="3">
        <v>4200000</v>
      </c>
      <c r="M50" s="30">
        <v>4200000.0000000009</v>
      </c>
      <c r="N50" s="31">
        <f t="shared" si="0"/>
        <v>0</v>
      </c>
      <c r="O50" s="28">
        <f>VLOOKUP(B50,[15]AKSoftSalesReport!$B:$C,2,0)</f>
        <v>14451</v>
      </c>
      <c r="P50" s="28">
        <f>VLOOKUP(B50,[16]AKSoftSalesReport!$B:$C,2,0)</f>
        <v>46262</v>
      </c>
      <c r="Q50" s="28">
        <f t="shared" si="6"/>
        <v>31811</v>
      </c>
      <c r="R50" s="28">
        <v>132244</v>
      </c>
      <c r="S50" s="177" t="s">
        <v>144</v>
      </c>
      <c r="T50" s="178">
        <v>779961</v>
      </c>
    </row>
    <row r="51" spans="1:20" x14ac:dyDescent="0.3">
      <c r="A51" s="62">
        <v>48</v>
      </c>
      <c r="B51" s="90" t="s">
        <v>112</v>
      </c>
      <c r="C51" s="70">
        <f t="shared" si="1"/>
        <v>281909</v>
      </c>
      <c r="D51" s="7">
        <f t="shared" si="2"/>
        <v>3.2657080916583293E-2</v>
      </c>
      <c r="E51" s="85">
        <f t="shared" si="3"/>
        <v>338327.3582958029</v>
      </c>
      <c r="F51" s="6">
        <v>630746</v>
      </c>
      <c r="G51" s="7">
        <f t="shared" si="4"/>
        <v>7.3067277596001706E-2</v>
      </c>
      <c r="H51" s="85">
        <f t="shared" si="5"/>
        <v>756976.9958945777</v>
      </c>
      <c r="I51" s="73">
        <v>8632400.4499999993</v>
      </c>
      <c r="J51" s="87">
        <v>10358880.539999999</v>
      </c>
      <c r="K51" s="176">
        <v>0.2</v>
      </c>
      <c r="L51" s="1">
        <v>10360000</v>
      </c>
      <c r="M51" s="30">
        <v>10360000</v>
      </c>
      <c r="N51" s="31">
        <f t="shared" si="0"/>
        <v>0</v>
      </c>
      <c r="O51" s="28">
        <f>VLOOKUP(B51,[15]AKSoftSalesReport!$B:$C,2,0)</f>
        <v>81895</v>
      </c>
      <c r="P51" s="28">
        <f>VLOOKUP(B51,[16]AKSoftSalesReport!$B:$C,2,0)</f>
        <v>154678</v>
      </c>
      <c r="Q51" s="28">
        <f t="shared" si="6"/>
        <v>72783</v>
      </c>
      <c r="R51" s="28">
        <v>630746</v>
      </c>
      <c r="S51" s="179" t="s">
        <v>61</v>
      </c>
      <c r="T51" s="180">
        <v>59403</v>
      </c>
    </row>
    <row r="52" spans="1:20" x14ac:dyDescent="0.3">
      <c r="A52" s="86">
        <v>49</v>
      </c>
      <c r="B52" s="89" t="s">
        <v>8</v>
      </c>
      <c r="C52" s="70">
        <f t="shared" si="1"/>
        <v>1834513</v>
      </c>
      <c r="D52" s="7">
        <f t="shared" si="2"/>
        <v>4.8766185751853569E-2</v>
      </c>
      <c r="E52" s="85">
        <f t="shared" si="3"/>
        <v>2348091.8439517491</v>
      </c>
      <c r="F52" s="6">
        <v>2701397</v>
      </c>
      <c r="G52" s="7">
        <f t="shared" si="4"/>
        <v>7.1810244948659382E-2</v>
      </c>
      <c r="H52" s="85">
        <f t="shared" si="5"/>
        <v>3457663.2942779493</v>
      </c>
      <c r="I52" s="104">
        <v>37618545.959999986</v>
      </c>
      <c r="J52" s="87">
        <v>48151738.828799985</v>
      </c>
      <c r="K52" s="176">
        <v>0.28000000000000003</v>
      </c>
      <c r="L52" s="25">
        <v>48150000</v>
      </c>
      <c r="M52" s="30">
        <v>48150000</v>
      </c>
      <c r="N52" s="31">
        <f t="shared" si="0"/>
        <v>0</v>
      </c>
      <c r="O52" s="28">
        <f>VLOOKUP(B52,[15]AKSoftSalesReport!$B:$C,2,0)</f>
        <v>525886</v>
      </c>
      <c r="P52" s="28">
        <f>VLOOKUP(B52,[16]AKSoftSalesReport!$B:$C,2,0)</f>
        <v>694629</v>
      </c>
      <c r="Q52" s="28">
        <f t="shared" si="6"/>
        <v>168743</v>
      </c>
      <c r="R52" s="28">
        <v>2701397</v>
      </c>
      <c r="S52" s="177" t="s">
        <v>171</v>
      </c>
      <c r="T52" s="178">
        <v>281909</v>
      </c>
    </row>
    <row r="53" spans="1:20" x14ac:dyDescent="0.3">
      <c r="A53" s="62">
        <v>50</v>
      </c>
      <c r="B53" s="90" t="s">
        <v>85</v>
      </c>
      <c r="C53" s="70">
        <f t="shared" si="1"/>
        <v>3219165</v>
      </c>
      <c r="D53" s="7">
        <f t="shared" si="2"/>
        <v>6.3031875454408998E-2</v>
      </c>
      <c r="E53" s="85">
        <f t="shared" si="3"/>
        <v>3863223.6466007275</v>
      </c>
      <c r="F53" s="6">
        <v>4472753</v>
      </c>
      <c r="G53" s="7">
        <f t="shared" si="4"/>
        <v>8.7577371782538091E-2</v>
      </c>
      <c r="H53" s="85">
        <f t="shared" si="5"/>
        <v>5367617.1165517597</v>
      </c>
      <c r="I53" s="73">
        <v>51072016.765999995</v>
      </c>
      <c r="J53" s="87">
        <v>61286420.119199991</v>
      </c>
      <c r="K53" s="176">
        <v>0.2</v>
      </c>
      <c r="L53" s="1">
        <v>61290000</v>
      </c>
      <c r="M53" s="30">
        <v>61290000.000000007</v>
      </c>
      <c r="N53" s="31">
        <f t="shared" si="0"/>
        <v>0</v>
      </c>
      <c r="O53" s="28">
        <f>VLOOKUP(B53,[15]AKSoftSalesReport!$B:$C,2,0)</f>
        <v>926177</v>
      </c>
      <c r="P53" s="28">
        <f>VLOOKUP(B53,[16]AKSoftSalesReport!$B:$C,2,0)</f>
        <v>1124089</v>
      </c>
      <c r="Q53" s="28">
        <f t="shared" si="6"/>
        <v>197912</v>
      </c>
      <c r="R53" s="28">
        <v>4472753</v>
      </c>
      <c r="S53" s="179" t="s">
        <v>172</v>
      </c>
      <c r="T53" s="180">
        <v>290118</v>
      </c>
    </row>
    <row r="54" spans="1:20" ht="15.6" x14ac:dyDescent="0.3">
      <c r="A54" s="86">
        <v>51</v>
      </c>
      <c r="B54" s="89" t="s">
        <v>10</v>
      </c>
      <c r="C54" s="70">
        <f t="shared" si="1"/>
        <v>860203</v>
      </c>
      <c r="D54" s="7">
        <f t="shared" si="2"/>
        <v>6.7849426116103492E-2</v>
      </c>
      <c r="E54" s="85">
        <f t="shared" si="3"/>
        <v>1032329.0183565146</v>
      </c>
      <c r="F54" s="6">
        <v>936732</v>
      </c>
      <c r="G54" s="7">
        <f t="shared" si="4"/>
        <v>7.3885732349910249E-2</v>
      </c>
      <c r="H54" s="85">
        <f t="shared" si="5"/>
        <v>1124171.4177038844</v>
      </c>
      <c r="I54" s="73">
        <v>12678117.550000001</v>
      </c>
      <c r="J54" s="87">
        <v>15213741.060000001</v>
      </c>
      <c r="K54" s="176">
        <v>0.2</v>
      </c>
      <c r="L54" s="25">
        <v>15215000</v>
      </c>
      <c r="M54" s="30">
        <v>15214999.999999998</v>
      </c>
      <c r="N54" s="135">
        <f t="shared" si="0"/>
        <v>0</v>
      </c>
      <c r="O54" s="28">
        <f>VLOOKUP(B54,[15]AKSoftSalesReport!$B:$C,2,0)</f>
        <v>189651</v>
      </c>
      <c r="P54" s="28">
        <f>VLOOKUP(B54,[16]AKSoftSalesReport!$B:$C,2,0)</f>
        <v>249617</v>
      </c>
      <c r="Q54" s="28">
        <f t="shared" si="6"/>
        <v>59966</v>
      </c>
      <c r="R54" s="28">
        <v>936732</v>
      </c>
      <c r="S54" s="177" t="s">
        <v>19</v>
      </c>
      <c r="T54" s="178">
        <v>319365</v>
      </c>
    </row>
    <row r="55" spans="1:20" x14ac:dyDescent="0.3">
      <c r="A55" s="62">
        <v>52</v>
      </c>
      <c r="B55" s="90" t="s">
        <v>93</v>
      </c>
      <c r="C55" s="70">
        <f t="shared" si="1"/>
        <v>1495391</v>
      </c>
      <c r="D55" s="7">
        <f t="shared" si="2"/>
        <v>7.4843467279371786E-2</v>
      </c>
      <c r="E55" s="85">
        <f t="shared" si="3"/>
        <v>1794372.1280229385</v>
      </c>
      <c r="F55" s="6">
        <v>1662709</v>
      </c>
      <c r="G55" s="7">
        <f t="shared" si="4"/>
        <v>8.3217637819551535E-2</v>
      </c>
      <c r="H55" s="85">
        <f t="shared" si="5"/>
        <v>1995142.8667237482</v>
      </c>
      <c r="I55" s="73">
        <v>19980247.5</v>
      </c>
      <c r="J55" s="87">
        <v>23976297</v>
      </c>
      <c r="K55" s="176">
        <v>0.2</v>
      </c>
      <c r="L55" s="1">
        <v>23975000</v>
      </c>
      <c r="M55" s="30">
        <v>23975000</v>
      </c>
      <c r="N55" s="31">
        <f t="shared" si="0"/>
        <v>0</v>
      </c>
      <c r="O55" s="28">
        <f>VLOOKUP(B55,[15]AKSoftSalesReport!$B:$C,2,0)</f>
        <v>380039</v>
      </c>
      <c r="P55" s="28">
        <f>VLOOKUP(B55,[16]AKSoftSalesReport!$B:$C,2,0)</f>
        <v>469687</v>
      </c>
      <c r="Q55" s="28">
        <f t="shared" si="6"/>
        <v>89648</v>
      </c>
      <c r="R55" s="28">
        <v>1662709</v>
      </c>
      <c r="S55" s="179" t="s">
        <v>49</v>
      </c>
      <c r="T55" s="180">
        <v>1017899</v>
      </c>
    </row>
    <row r="56" spans="1:20" x14ac:dyDescent="0.3">
      <c r="A56" s="86">
        <v>53</v>
      </c>
      <c r="B56" s="89" t="s">
        <v>9</v>
      </c>
      <c r="C56" s="70">
        <f t="shared" si="1"/>
        <v>420190</v>
      </c>
      <c r="D56" s="7">
        <f t="shared" si="2"/>
        <v>7.0952951121582716E-2</v>
      </c>
      <c r="E56" s="85">
        <f t="shared" si="3"/>
        <v>504120.71771884518</v>
      </c>
      <c r="F56" s="6">
        <v>485154</v>
      </c>
      <c r="G56" s="7">
        <f t="shared" si="4"/>
        <v>8.1922720789262812E-2</v>
      </c>
      <c r="H56" s="85">
        <f t="shared" si="5"/>
        <v>582060.93120771227</v>
      </c>
      <c r="I56" s="73">
        <v>5922093.3499999996</v>
      </c>
      <c r="J56" s="87">
        <v>7106512.0199999996</v>
      </c>
      <c r="K56" s="176">
        <v>0.2</v>
      </c>
      <c r="L56" s="1">
        <v>7105000</v>
      </c>
      <c r="M56" s="30">
        <v>7105000</v>
      </c>
      <c r="N56" s="31">
        <f t="shared" si="0"/>
        <v>0</v>
      </c>
      <c r="O56" s="28">
        <f>VLOOKUP(B56,[15]AKSoftSalesReport!$B:$C,2,0)</f>
        <v>113916</v>
      </c>
      <c r="P56" s="28">
        <f>VLOOKUP(B56,[16]AKSoftSalesReport!$B:$C,2,0)</f>
        <v>131347</v>
      </c>
      <c r="Q56" s="28">
        <f t="shared" si="6"/>
        <v>17431</v>
      </c>
      <c r="R56" s="28">
        <v>485154</v>
      </c>
      <c r="S56" s="177" t="s">
        <v>52</v>
      </c>
      <c r="T56" s="178">
        <v>809958</v>
      </c>
    </row>
    <row r="57" spans="1:20" x14ac:dyDescent="0.3">
      <c r="A57" s="62">
        <v>54</v>
      </c>
      <c r="B57" s="90" t="s">
        <v>91</v>
      </c>
      <c r="C57" s="70">
        <f t="shared" si="1"/>
        <v>1215558</v>
      </c>
      <c r="D57" s="7">
        <f t="shared" si="2"/>
        <v>6.3943987424125048E-2</v>
      </c>
      <c r="E57" s="85">
        <f t="shared" si="3"/>
        <v>1458562.3531442923</v>
      </c>
      <c r="F57" s="6">
        <v>1428946</v>
      </c>
      <c r="G57" s="7">
        <f t="shared" si="4"/>
        <v>7.516918571861958E-2</v>
      </c>
      <c r="H57" s="85">
        <f t="shared" si="5"/>
        <v>1714609.1262417126</v>
      </c>
      <c r="I57" s="73">
        <v>19009731</v>
      </c>
      <c r="J57" s="87">
        <v>22811677.199999999</v>
      </c>
      <c r="K57" s="176">
        <v>0.2</v>
      </c>
      <c r="L57" s="1">
        <v>22810000</v>
      </c>
      <c r="M57" s="30">
        <v>22810000</v>
      </c>
      <c r="N57" s="31">
        <f t="shared" si="0"/>
        <v>0</v>
      </c>
      <c r="O57" s="28">
        <f>VLOOKUP(B57,[15]AKSoftSalesReport!$B:$C,2,0)</f>
        <v>328115</v>
      </c>
      <c r="P57" s="28">
        <f>VLOOKUP(B57,[16]AKSoftSalesReport!$B:$C,2,0)</f>
        <v>381280</v>
      </c>
      <c r="Q57" s="28">
        <f t="shared" si="6"/>
        <v>53165</v>
      </c>
      <c r="R57" s="28">
        <v>1428946</v>
      </c>
      <c r="S57" s="179" t="s">
        <v>51</v>
      </c>
      <c r="T57" s="180">
        <v>640385</v>
      </c>
    </row>
    <row r="58" spans="1:20" x14ac:dyDescent="0.3">
      <c r="A58" s="86">
        <v>55</v>
      </c>
      <c r="B58" s="89" t="s">
        <v>92</v>
      </c>
      <c r="C58" s="70">
        <f t="shared" si="1"/>
        <v>608222</v>
      </c>
      <c r="D58" s="7">
        <f t="shared" si="2"/>
        <v>5.3793560497368338E-2</v>
      </c>
      <c r="E58" s="85">
        <f t="shared" si="3"/>
        <v>820889.7331898408</v>
      </c>
      <c r="F58" s="6">
        <v>813699</v>
      </c>
      <c r="G58" s="7">
        <f t="shared" si="4"/>
        <v>7.1966759477868472E-2</v>
      </c>
      <c r="H58" s="85">
        <f t="shared" si="5"/>
        <v>1098212.7496322729</v>
      </c>
      <c r="I58" s="73">
        <v>11306594.960000001</v>
      </c>
      <c r="J58" s="87">
        <v>15263903.196</v>
      </c>
      <c r="K58" s="176">
        <v>0.35</v>
      </c>
      <c r="L58" s="1">
        <v>15260000</v>
      </c>
      <c r="M58" s="30">
        <v>15259999.999999998</v>
      </c>
      <c r="N58" s="26">
        <f t="shared" si="0"/>
        <v>0</v>
      </c>
      <c r="O58" s="28">
        <f>VLOOKUP(B58,[15]AKSoftSalesReport!$B:$C,2,0)</f>
        <v>177925</v>
      </c>
      <c r="P58" s="28">
        <f>VLOOKUP(B58,[16]AKSoftSalesReport!$B:$C,2,0)</f>
        <v>209111</v>
      </c>
      <c r="Q58" s="28">
        <f t="shared" si="6"/>
        <v>31186</v>
      </c>
      <c r="R58" s="28">
        <v>813699</v>
      </c>
      <c r="S58" s="177" t="s">
        <v>173</v>
      </c>
      <c r="T58" s="178">
        <v>1190349</v>
      </c>
    </row>
    <row r="59" spans="1:20" x14ac:dyDescent="0.3">
      <c r="A59" s="62">
        <v>56</v>
      </c>
      <c r="B59" s="90" t="s">
        <v>100</v>
      </c>
      <c r="C59" s="70">
        <f t="shared" si="1"/>
        <v>654969</v>
      </c>
      <c r="D59" s="7">
        <f t="shared" si="2"/>
        <v>5.6370580765471599E-2</v>
      </c>
      <c r="E59" s="85">
        <f t="shared" si="3"/>
        <v>884172.55930642202</v>
      </c>
      <c r="F59" s="6">
        <v>822616</v>
      </c>
      <c r="G59" s="7">
        <f t="shared" si="4"/>
        <v>7.0799292282488463E-2</v>
      </c>
      <c r="H59" s="85">
        <f t="shared" si="5"/>
        <v>1110486.8994508316</v>
      </c>
      <c r="I59" s="73">
        <v>11618986.200000001</v>
      </c>
      <c r="J59" s="87">
        <v>15685631.370000001</v>
      </c>
      <c r="K59" s="176">
        <v>0.35</v>
      </c>
      <c r="L59" s="1">
        <v>15685000</v>
      </c>
      <c r="M59" s="30">
        <v>15684999.999999998</v>
      </c>
      <c r="N59" s="26">
        <f t="shared" si="0"/>
        <v>0</v>
      </c>
      <c r="O59" s="28">
        <f>VLOOKUP(B59,[15]AKSoftSalesReport!$B:$C,2,0)</f>
        <v>162500</v>
      </c>
      <c r="P59" s="28">
        <f>VLOOKUP(B59,[16]AKSoftSalesReport!$B:$C,2,0)</f>
        <v>201401</v>
      </c>
      <c r="Q59" s="28">
        <f t="shared" si="6"/>
        <v>38901</v>
      </c>
      <c r="R59" s="28">
        <v>822616</v>
      </c>
      <c r="S59" s="179" t="s">
        <v>140</v>
      </c>
      <c r="T59" s="180">
        <v>508528</v>
      </c>
    </row>
    <row r="60" spans="1:20" x14ac:dyDescent="0.3">
      <c r="A60" s="86">
        <v>57</v>
      </c>
      <c r="B60" s="89" t="s">
        <v>104</v>
      </c>
      <c r="C60" s="70">
        <f t="shared" si="1"/>
        <v>659272</v>
      </c>
      <c r="D60" s="7">
        <f t="shared" si="2"/>
        <v>7.9813727936508136E-2</v>
      </c>
      <c r="E60" s="85">
        <f t="shared" si="3"/>
        <v>843631.10428889096</v>
      </c>
      <c r="F60" s="6">
        <v>778145</v>
      </c>
      <c r="G60" s="7">
        <f t="shared" si="4"/>
        <v>9.4204900746814854E-2</v>
      </c>
      <c r="H60" s="85">
        <f t="shared" si="5"/>
        <v>995745.80089383305</v>
      </c>
      <c r="I60" s="73">
        <v>8260132.9000000004</v>
      </c>
      <c r="J60" s="87">
        <v>10572970.112</v>
      </c>
      <c r="K60" s="176">
        <v>0.28000000000000003</v>
      </c>
      <c r="L60" s="1">
        <v>10570000</v>
      </c>
      <c r="M60" s="30">
        <v>10570000</v>
      </c>
      <c r="N60" s="26">
        <f t="shared" si="0"/>
        <v>0</v>
      </c>
      <c r="O60" s="28">
        <f>VLOOKUP(B60,[15]AKSoftSalesReport!$B:$C,2,0)</f>
        <v>193433</v>
      </c>
      <c r="P60" s="28">
        <f>VLOOKUP(B60,[16]AKSoftSalesReport!$B:$C,2,0)</f>
        <v>198329</v>
      </c>
      <c r="Q60" s="28">
        <f t="shared" si="6"/>
        <v>4896</v>
      </c>
      <c r="R60" s="28">
        <v>778145</v>
      </c>
      <c r="S60" s="177" t="s">
        <v>142</v>
      </c>
      <c r="T60" s="178">
        <v>550499</v>
      </c>
    </row>
    <row r="61" spans="1:20" x14ac:dyDescent="0.3">
      <c r="A61" s="62">
        <v>58</v>
      </c>
      <c r="B61" s="90" t="s">
        <v>142</v>
      </c>
      <c r="C61" s="70">
        <f t="shared" si="1"/>
        <v>550499</v>
      </c>
      <c r="D61" s="7">
        <f t="shared" si="2"/>
        <v>3.7507314280237146E-2</v>
      </c>
      <c r="E61" s="85">
        <f t="shared" si="3"/>
        <v>743207.43246289901</v>
      </c>
      <c r="F61" s="6">
        <v>838560</v>
      </c>
      <c r="G61" s="7">
        <f t="shared" si="4"/>
        <v>5.7133861211075158E-2</v>
      </c>
      <c r="H61" s="85">
        <f t="shared" si="5"/>
        <v>1132107.4598974544</v>
      </c>
      <c r="I61" s="103">
        <v>14677110.6</v>
      </c>
      <c r="J61" s="87">
        <v>19814099.309999999</v>
      </c>
      <c r="K61" s="176">
        <v>0.35</v>
      </c>
      <c r="L61" s="3">
        <v>19815000</v>
      </c>
      <c r="M61" s="30">
        <v>19815000</v>
      </c>
      <c r="N61" s="31">
        <f t="shared" si="0"/>
        <v>0</v>
      </c>
      <c r="O61" s="28">
        <f>VLOOKUP(B61,[15]AKSoftSalesReport!$B:$C,2,0)</f>
        <v>160288</v>
      </c>
      <c r="P61" s="28">
        <f>VLOOKUP(B61,[16]AKSoftSalesReport!$B:$C,2,0)</f>
        <v>219571</v>
      </c>
      <c r="Q61" s="28">
        <f t="shared" si="6"/>
        <v>59283</v>
      </c>
      <c r="R61" s="28">
        <v>838560</v>
      </c>
      <c r="S61" s="179" t="s">
        <v>12</v>
      </c>
      <c r="T61" s="180">
        <v>255766</v>
      </c>
    </row>
    <row r="62" spans="1:20" x14ac:dyDescent="0.3">
      <c r="A62" s="86">
        <v>59</v>
      </c>
      <c r="B62" s="102" t="s">
        <v>143</v>
      </c>
      <c r="C62" s="70"/>
      <c r="D62" s="7">
        <f t="shared" si="2"/>
        <v>0</v>
      </c>
      <c r="E62" s="85">
        <f t="shared" si="3"/>
        <v>0</v>
      </c>
      <c r="F62" s="70">
        <v>0</v>
      </c>
      <c r="G62" s="7">
        <f t="shared" si="4"/>
        <v>0</v>
      </c>
      <c r="H62" s="85">
        <f t="shared" si="5"/>
        <v>0</v>
      </c>
      <c r="I62" s="103">
        <v>5337376.8</v>
      </c>
      <c r="J62" s="87">
        <v>6938589.8399999999</v>
      </c>
      <c r="K62" s="176">
        <v>0.3</v>
      </c>
      <c r="L62" s="3">
        <v>6940000</v>
      </c>
      <c r="M62" s="30">
        <v>1156666.6666666667</v>
      </c>
      <c r="N62" s="31">
        <f t="shared" si="0"/>
        <v>-5783333.333333333</v>
      </c>
      <c r="O62" s="28"/>
      <c r="P62" s="28"/>
      <c r="Q62" s="28">
        <f t="shared" si="6"/>
        <v>0</v>
      </c>
      <c r="R62" s="28">
        <v>0</v>
      </c>
      <c r="S62" s="177" t="s">
        <v>50</v>
      </c>
      <c r="T62" s="178">
        <v>1215558</v>
      </c>
    </row>
    <row r="63" spans="1:20" x14ac:dyDescent="0.3">
      <c r="A63" s="62">
        <v>60</v>
      </c>
      <c r="B63" s="90" t="s">
        <v>87</v>
      </c>
      <c r="C63" s="70">
        <f t="shared" si="1"/>
        <v>1010609</v>
      </c>
      <c r="D63" s="7">
        <f t="shared" si="2"/>
        <v>6.9192558196994269E-2</v>
      </c>
      <c r="E63" s="85">
        <f t="shared" si="3"/>
        <v>1212599.5824023245</v>
      </c>
      <c r="F63" s="6">
        <v>1307650</v>
      </c>
      <c r="G63" s="7">
        <f t="shared" si="4"/>
        <v>8.9529826793843664E-2</v>
      </c>
      <c r="H63" s="85">
        <f t="shared" si="5"/>
        <v>1569010.2145621101</v>
      </c>
      <c r="I63" s="73">
        <v>14605747.01</v>
      </c>
      <c r="J63" s="87">
        <v>17526896.412</v>
      </c>
      <c r="K63" s="176">
        <v>0.2</v>
      </c>
      <c r="L63" s="1">
        <v>17525000</v>
      </c>
      <c r="M63" s="30">
        <v>17525000</v>
      </c>
      <c r="N63" s="31">
        <f t="shared" si="0"/>
        <v>0</v>
      </c>
      <c r="O63" s="28">
        <f>VLOOKUP(B63,[15]AKSoftSalesReport!$B:$C,2,0)</f>
        <v>295390</v>
      </c>
      <c r="P63" s="28">
        <f>VLOOKUP(B63,[16]AKSoftSalesReport!$B:$C,2,0)</f>
        <v>329148</v>
      </c>
      <c r="Q63" s="28">
        <f t="shared" si="6"/>
        <v>33758</v>
      </c>
      <c r="R63" s="28">
        <v>1307650</v>
      </c>
      <c r="S63" s="179" t="s">
        <v>20</v>
      </c>
      <c r="T63" s="180">
        <v>1107208</v>
      </c>
    </row>
    <row r="64" spans="1:20" x14ac:dyDescent="0.3">
      <c r="A64" s="86">
        <v>61</v>
      </c>
      <c r="B64" s="89" t="s">
        <v>18</v>
      </c>
      <c r="C64" s="70">
        <f t="shared" si="1"/>
        <v>1524331</v>
      </c>
      <c r="D64" s="7">
        <f t="shared" si="2"/>
        <v>4.6041985730678282E-2</v>
      </c>
      <c r="E64" s="85">
        <f t="shared" si="3"/>
        <v>2058076.7621613191</v>
      </c>
      <c r="F64" s="6">
        <v>2617444</v>
      </c>
      <c r="G64" s="7">
        <f t="shared" si="4"/>
        <v>7.9059154015006905E-2</v>
      </c>
      <c r="H64" s="85">
        <f t="shared" si="5"/>
        <v>3533944.1844708086</v>
      </c>
      <c r="I64" s="104">
        <v>33107412.197999999</v>
      </c>
      <c r="J64" s="87">
        <v>44695006.467299998</v>
      </c>
      <c r="K64" s="176">
        <v>0.35</v>
      </c>
      <c r="L64" s="25">
        <v>44700000</v>
      </c>
      <c r="M64" s="30">
        <v>44699999.999999993</v>
      </c>
      <c r="N64" s="31">
        <f t="shared" si="0"/>
        <v>0</v>
      </c>
      <c r="O64" s="28">
        <f>VLOOKUP(B64,[15]AKSoftSalesReport!$B:$C,2,0)</f>
        <v>397816</v>
      </c>
      <c r="P64" s="28">
        <f>VLOOKUP(B64,[16]AKSoftSalesReport!$B:$C,2,0)</f>
        <v>653228</v>
      </c>
      <c r="Q64" s="28">
        <f t="shared" si="6"/>
        <v>255412</v>
      </c>
      <c r="R64" s="28">
        <v>2617444</v>
      </c>
      <c r="S64" s="177" t="s">
        <v>141</v>
      </c>
      <c r="T64" s="178">
        <v>593592</v>
      </c>
    </row>
    <row r="65" spans="1:20" x14ac:dyDescent="0.3">
      <c r="A65" s="62">
        <v>62</v>
      </c>
      <c r="B65" s="90" t="s">
        <v>11</v>
      </c>
      <c r="C65" s="70">
        <f t="shared" si="1"/>
        <v>358974</v>
      </c>
      <c r="D65" s="7">
        <f t="shared" si="2"/>
        <v>5.2731183236697295E-2</v>
      </c>
      <c r="E65" s="85">
        <f t="shared" si="3"/>
        <v>437668.82086458756</v>
      </c>
      <c r="F65" s="6">
        <v>518272</v>
      </c>
      <c r="G65" s="7">
        <f t="shared" si="4"/>
        <v>7.6131128712523977E-2</v>
      </c>
      <c r="H65" s="85">
        <f t="shared" si="5"/>
        <v>631888.36831394897</v>
      </c>
      <c r="I65" s="73">
        <v>6807622.7000000002</v>
      </c>
      <c r="J65" s="87">
        <v>8305299.6940000001</v>
      </c>
      <c r="K65" s="176">
        <v>0.22</v>
      </c>
      <c r="L65" s="3">
        <v>8300000</v>
      </c>
      <c r="M65" s="30">
        <v>8299999.9999999991</v>
      </c>
      <c r="N65" s="31">
        <f t="shared" si="0"/>
        <v>0</v>
      </c>
      <c r="O65" s="28">
        <f>VLOOKUP(B65,[15]AKSoftSalesReport!$B:$C,2,0)</f>
        <v>108646</v>
      </c>
      <c r="P65" s="28">
        <f>VLOOKUP(B65,[16]AKSoftSalesReport!$B:$C,2,0)</f>
        <v>137914</v>
      </c>
      <c r="Q65" s="28">
        <f t="shared" si="6"/>
        <v>29268</v>
      </c>
      <c r="R65" s="28">
        <v>518272</v>
      </c>
      <c r="S65" s="179" t="s">
        <v>174</v>
      </c>
      <c r="T65" s="180">
        <v>910630</v>
      </c>
    </row>
    <row r="66" spans="1:20" x14ac:dyDescent="0.3">
      <c r="A66" s="86">
        <v>63</v>
      </c>
      <c r="B66" s="89" t="s">
        <v>12</v>
      </c>
      <c r="C66" s="70">
        <f t="shared" si="1"/>
        <v>255766</v>
      </c>
      <c r="D66" s="7">
        <f t="shared" si="2"/>
        <v>5.0816197143781855E-2</v>
      </c>
      <c r="E66" s="85">
        <f t="shared" si="3"/>
        <v>306929.83074844239</v>
      </c>
      <c r="F66" s="6">
        <v>386943</v>
      </c>
      <c r="G66" s="7">
        <f t="shared" si="4"/>
        <v>7.6878755469477505E-2</v>
      </c>
      <c r="H66" s="85">
        <f t="shared" si="5"/>
        <v>464347.68303564412</v>
      </c>
      <c r="I66" s="73">
        <v>5033159.0000000009</v>
      </c>
      <c r="J66" s="87">
        <v>6039790.8000000007</v>
      </c>
      <c r="K66" s="176">
        <v>0.2</v>
      </c>
      <c r="L66" s="3">
        <v>6040000</v>
      </c>
      <c r="M66" s="30">
        <v>6039999.9999999991</v>
      </c>
      <c r="N66" s="31">
        <f t="shared" si="0"/>
        <v>0</v>
      </c>
      <c r="O66" s="28">
        <f>VLOOKUP(B66,[15]AKSoftSalesReport!$B:$C,2,0)</f>
        <v>64331</v>
      </c>
      <c r="P66" s="28">
        <f>VLOOKUP(B66,[16]AKSoftSalesReport!$B:$C,2,0)</f>
        <v>97149</v>
      </c>
      <c r="Q66" s="28">
        <f t="shared" si="6"/>
        <v>32818</v>
      </c>
      <c r="R66" s="28">
        <v>386943</v>
      </c>
      <c r="S66" s="177" t="s">
        <v>175</v>
      </c>
      <c r="T66" s="178">
        <v>608222</v>
      </c>
    </row>
    <row r="67" spans="1:20" x14ac:dyDescent="0.3">
      <c r="A67" s="62">
        <v>64</v>
      </c>
      <c r="B67" s="106" t="s">
        <v>146</v>
      </c>
      <c r="C67" s="70"/>
      <c r="D67" s="7">
        <f t="shared" si="2"/>
        <v>0</v>
      </c>
      <c r="E67" s="85">
        <f t="shared" si="3"/>
        <v>0</v>
      </c>
      <c r="F67" s="70">
        <v>0</v>
      </c>
      <c r="G67" s="7">
        <f t="shared" si="4"/>
        <v>0</v>
      </c>
      <c r="H67" s="85">
        <f t="shared" si="5"/>
        <v>0</v>
      </c>
      <c r="I67" s="73">
        <v>3934668.2249999996</v>
      </c>
      <c r="J67" s="87">
        <v>5115068.692499999</v>
      </c>
      <c r="K67" s="176">
        <v>0.3</v>
      </c>
      <c r="L67" s="3">
        <v>5115000</v>
      </c>
      <c r="M67" s="30">
        <v>3410000.0000000005</v>
      </c>
      <c r="N67" s="31">
        <f t="shared" si="0"/>
        <v>-1704999.9999999995</v>
      </c>
      <c r="O67" s="28"/>
      <c r="P67" s="28"/>
      <c r="Q67" s="28">
        <f t="shared" si="6"/>
        <v>0</v>
      </c>
      <c r="R67" s="28">
        <v>0</v>
      </c>
      <c r="S67" s="179" t="s">
        <v>176</v>
      </c>
      <c r="T67" s="180">
        <v>588374</v>
      </c>
    </row>
    <row r="68" spans="1:20" x14ac:dyDescent="0.3">
      <c r="A68" s="86">
        <v>65</v>
      </c>
      <c r="B68" s="89" t="s">
        <v>88</v>
      </c>
      <c r="C68" s="70">
        <f t="shared" si="1"/>
        <v>1335709</v>
      </c>
      <c r="D68" s="7">
        <f t="shared" si="2"/>
        <v>4.4056623141861699E-2</v>
      </c>
      <c r="E68" s="85">
        <f t="shared" si="3"/>
        <v>1736271.5180207696</v>
      </c>
      <c r="F68" s="6">
        <v>2192921</v>
      </c>
      <c r="G68" s="7">
        <f t="shared" si="4"/>
        <v>7.2330645430160698E-2</v>
      </c>
      <c r="H68" s="85">
        <f t="shared" si="5"/>
        <v>2850550.7364026331</v>
      </c>
      <c r="I68" s="73">
        <v>30318006.79999999</v>
      </c>
      <c r="J68" s="87">
        <v>39413408.839999989</v>
      </c>
      <c r="K68" s="176">
        <v>0.3</v>
      </c>
      <c r="L68" s="1">
        <v>39410000</v>
      </c>
      <c r="M68" s="30">
        <v>39410000</v>
      </c>
      <c r="N68" s="31">
        <f t="shared" ref="N68:N85" si="7">M68-L68</f>
        <v>0</v>
      </c>
      <c r="O68" s="28">
        <f>VLOOKUP(B68,[15]AKSoftSalesReport!$B:$C,2,0)</f>
        <v>374442</v>
      </c>
      <c r="P68" s="28">
        <f>VLOOKUP(B68,[16]AKSoftSalesReport!$B:$C,2,0)</f>
        <v>550707</v>
      </c>
      <c r="Q68" s="28">
        <f t="shared" si="6"/>
        <v>176265</v>
      </c>
      <c r="R68" s="28">
        <v>2192921</v>
      </c>
      <c r="S68" s="177" t="s">
        <v>177</v>
      </c>
      <c r="T68" s="178">
        <v>820492</v>
      </c>
    </row>
    <row r="69" spans="1:20" x14ac:dyDescent="0.3">
      <c r="A69" s="62">
        <v>66</v>
      </c>
      <c r="B69" s="90" t="s">
        <v>94</v>
      </c>
      <c r="C69" s="70">
        <f t="shared" ref="C69:C84" si="8">VLOOKUP(B69,S:T,2,0)</f>
        <v>766521</v>
      </c>
      <c r="D69" s="7">
        <f t="shared" ref="D69:D85" si="9">C69/I69</f>
        <v>4.3161914164924584E-2</v>
      </c>
      <c r="E69" s="85">
        <f t="shared" ref="E69:E85" si="10">D69*L69</f>
        <v>996392.78849728405</v>
      </c>
      <c r="F69" s="6">
        <v>1424994</v>
      </c>
      <c r="G69" s="7">
        <f t="shared" ref="G69:G85" si="11">F69/I69</f>
        <v>8.0239769965248897E-2</v>
      </c>
      <c r="H69" s="85">
        <f t="shared" ref="H69:H85" si="12">G69*L69</f>
        <v>1852335.0896477709</v>
      </c>
      <c r="I69" s="73">
        <v>17759198.469999999</v>
      </c>
      <c r="J69" s="87">
        <v>23086958.011</v>
      </c>
      <c r="K69" s="176">
        <v>0.3</v>
      </c>
      <c r="L69" s="1">
        <v>23085000</v>
      </c>
      <c r="M69" s="30">
        <v>23085000</v>
      </c>
      <c r="N69" s="31">
        <f t="shared" si="7"/>
        <v>0</v>
      </c>
      <c r="O69" s="28">
        <f>VLOOKUP(B69,[15]AKSoftSalesReport!$B:$C,2,0)</f>
        <v>183118</v>
      </c>
      <c r="P69" s="28">
        <f>VLOOKUP(B69,[16]AKSoftSalesReport!$B:$C,2,0)</f>
        <v>350144</v>
      </c>
      <c r="Q69" s="28">
        <f t="shared" ref="Q69:Q85" si="13">P69-O69</f>
        <v>167026</v>
      </c>
      <c r="R69" s="28">
        <v>1424994</v>
      </c>
      <c r="S69" s="179" t="s">
        <v>10</v>
      </c>
      <c r="T69" s="180">
        <v>860203</v>
      </c>
    </row>
    <row r="70" spans="1:20" x14ac:dyDescent="0.3">
      <c r="A70" s="86">
        <v>67</v>
      </c>
      <c r="B70" s="89" t="s">
        <v>101</v>
      </c>
      <c r="C70" s="70">
        <f t="shared" si="8"/>
        <v>792675</v>
      </c>
      <c r="D70" s="7">
        <f t="shared" si="9"/>
        <v>4.5898504677110874E-2</v>
      </c>
      <c r="E70" s="85">
        <f t="shared" si="10"/>
        <v>1030421.4300011392</v>
      </c>
      <c r="F70" s="6">
        <v>1327855</v>
      </c>
      <c r="G70" s="7">
        <f t="shared" si="11"/>
        <v>7.6887197058094506E-2</v>
      </c>
      <c r="H70" s="85">
        <f t="shared" si="12"/>
        <v>1726117.5739542216</v>
      </c>
      <c r="I70" s="73">
        <v>17270170.467999998</v>
      </c>
      <c r="J70" s="87">
        <v>22451221.608399998</v>
      </c>
      <c r="K70" s="176">
        <v>0.3</v>
      </c>
      <c r="L70" s="1">
        <v>22450000</v>
      </c>
      <c r="M70" s="30">
        <v>22450000</v>
      </c>
      <c r="N70" s="31">
        <f t="shared" si="7"/>
        <v>0</v>
      </c>
      <c r="O70" s="28">
        <f>VLOOKUP(B70,[15]AKSoftSalesReport!$B:$C,2,0)</f>
        <v>220412</v>
      </c>
      <c r="P70" s="28">
        <f>VLOOKUP(B70,[16]AKSoftSalesReport!$B:$C,2,0)</f>
        <v>332105</v>
      </c>
      <c r="Q70" s="28">
        <f t="shared" si="13"/>
        <v>111693</v>
      </c>
      <c r="R70" s="28">
        <v>1327855</v>
      </c>
      <c r="S70" s="177" t="s">
        <v>47</v>
      </c>
      <c r="T70" s="178">
        <v>2190930</v>
      </c>
    </row>
    <row r="71" spans="1:20" x14ac:dyDescent="0.3">
      <c r="A71" s="62">
        <v>68</v>
      </c>
      <c r="B71" s="90" t="s">
        <v>139</v>
      </c>
      <c r="C71" s="70">
        <f t="shared" si="8"/>
        <v>570498</v>
      </c>
      <c r="D71" s="7">
        <f t="shared" si="9"/>
        <v>3.4963323789088764E-2</v>
      </c>
      <c r="E71" s="85">
        <f t="shared" si="10"/>
        <v>770242.02307362552</v>
      </c>
      <c r="F71" s="6">
        <v>1220894</v>
      </c>
      <c r="G71" s="7">
        <f t="shared" si="11"/>
        <v>7.4823246065991E-2</v>
      </c>
      <c r="H71" s="85">
        <f t="shared" si="12"/>
        <v>1648356.1108337818</v>
      </c>
      <c r="I71" s="104">
        <v>16317041.35</v>
      </c>
      <c r="J71" s="87">
        <v>22028005.822499998</v>
      </c>
      <c r="K71" s="176">
        <v>0.35</v>
      </c>
      <c r="L71" s="1">
        <v>22030000</v>
      </c>
      <c r="M71" s="30">
        <v>22030000</v>
      </c>
      <c r="N71" s="31">
        <f t="shared" si="7"/>
        <v>0</v>
      </c>
      <c r="O71" s="28">
        <f>VLOOKUP(B71,[15]AKSoftSalesReport!$B:$C,2,0)</f>
        <v>151149</v>
      </c>
      <c r="P71" s="28">
        <f>VLOOKUP(B71,[16]AKSoftSalesReport!$B:$C,2,0)</f>
        <v>323105</v>
      </c>
      <c r="Q71" s="28">
        <f t="shared" si="13"/>
        <v>171956</v>
      </c>
      <c r="R71" s="28">
        <v>1220894</v>
      </c>
      <c r="S71" s="179" t="s">
        <v>63</v>
      </c>
      <c r="T71" s="180">
        <v>1466731</v>
      </c>
    </row>
    <row r="72" spans="1:20" x14ac:dyDescent="0.3">
      <c r="A72" s="86">
        <v>69</v>
      </c>
      <c r="B72" s="89" t="s">
        <v>117</v>
      </c>
      <c r="C72" s="70">
        <f t="shared" si="8"/>
        <v>425960</v>
      </c>
      <c r="D72" s="7">
        <f t="shared" si="9"/>
        <v>1.6983049016475991E-2</v>
      </c>
      <c r="E72" s="85">
        <f t="shared" si="10"/>
        <v>566554.51518963906</v>
      </c>
      <c r="F72" s="6">
        <v>1147001</v>
      </c>
      <c r="G72" s="7">
        <f t="shared" si="11"/>
        <v>4.5730994001659732E-2</v>
      </c>
      <c r="H72" s="85">
        <f t="shared" si="12"/>
        <v>1525585.9598953687</v>
      </c>
      <c r="I72" s="73">
        <v>25081479.75</v>
      </c>
      <c r="J72" s="87">
        <v>33358368.067500003</v>
      </c>
      <c r="K72" s="176">
        <v>0.33</v>
      </c>
      <c r="L72" s="1">
        <v>33360000</v>
      </c>
      <c r="M72" s="30">
        <v>33359999.999999996</v>
      </c>
      <c r="N72" s="31">
        <f t="shared" si="7"/>
        <v>0</v>
      </c>
      <c r="O72" s="28">
        <f>VLOOKUP(B72,[15]AKSoftSalesReport!$B:$C,2,0)</f>
        <v>125866</v>
      </c>
      <c r="P72" s="28">
        <f>VLOOKUP(B72,[16]AKSoftSalesReport!$B:$C,2,0)</f>
        <v>304224</v>
      </c>
      <c r="Q72" s="28">
        <f t="shared" si="13"/>
        <v>178358</v>
      </c>
      <c r="R72" s="28">
        <v>1147001</v>
      </c>
      <c r="S72" s="177" t="s">
        <v>178</v>
      </c>
      <c r="T72" s="178">
        <v>467852</v>
      </c>
    </row>
    <row r="73" spans="1:20" x14ac:dyDescent="0.3">
      <c r="A73" s="62">
        <v>70</v>
      </c>
      <c r="B73" s="90" t="s">
        <v>60</v>
      </c>
      <c r="C73" s="70"/>
      <c r="D73" s="7">
        <f t="shared" si="9"/>
        <v>0</v>
      </c>
      <c r="E73" s="85">
        <f t="shared" si="10"/>
        <v>0</v>
      </c>
      <c r="F73" s="70">
        <v>0</v>
      </c>
      <c r="G73" s="7">
        <f t="shared" si="11"/>
        <v>0</v>
      </c>
      <c r="H73" s="85">
        <f t="shared" si="12"/>
        <v>0</v>
      </c>
      <c r="I73" s="104">
        <v>3489842.75</v>
      </c>
      <c r="J73" s="87">
        <v>4711287.7125000004</v>
      </c>
      <c r="K73" s="176">
        <v>0.35</v>
      </c>
      <c r="L73" s="3">
        <v>4710000</v>
      </c>
      <c r="M73" s="30">
        <v>4710000</v>
      </c>
      <c r="N73" s="31">
        <f t="shared" si="7"/>
        <v>0</v>
      </c>
      <c r="O73" s="28"/>
      <c r="P73" s="28"/>
      <c r="Q73" s="28">
        <f t="shared" si="13"/>
        <v>0</v>
      </c>
      <c r="R73" s="28">
        <v>0</v>
      </c>
      <c r="S73" s="179" t="s">
        <v>179</v>
      </c>
      <c r="T73" s="180">
        <v>1411314</v>
      </c>
    </row>
    <row r="74" spans="1:20" x14ac:dyDescent="0.3">
      <c r="A74" s="86">
        <v>71</v>
      </c>
      <c r="B74" s="89" t="s">
        <v>120</v>
      </c>
      <c r="C74" s="70"/>
      <c r="D74" s="7">
        <f t="shared" si="9"/>
        <v>0</v>
      </c>
      <c r="E74" s="85">
        <f t="shared" si="10"/>
        <v>0</v>
      </c>
      <c r="F74" s="70">
        <v>0</v>
      </c>
      <c r="G74" s="7">
        <f t="shared" si="11"/>
        <v>0</v>
      </c>
      <c r="H74" s="85">
        <f t="shared" si="12"/>
        <v>0</v>
      </c>
      <c r="I74" s="104">
        <v>2235150</v>
      </c>
      <c r="J74" s="87">
        <v>2905695</v>
      </c>
      <c r="K74" s="176">
        <v>0.3</v>
      </c>
      <c r="L74" s="3">
        <v>2900000</v>
      </c>
      <c r="M74" s="30">
        <v>2900000</v>
      </c>
      <c r="N74" s="31">
        <f t="shared" si="7"/>
        <v>0</v>
      </c>
      <c r="O74" s="28"/>
      <c r="P74" s="28"/>
      <c r="Q74" s="28">
        <f t="shared" si="13"/>
        <v>0</v>
      </c>
      <c r="R74" s="28">
        <v>0</v>
      </c>
      <c r="S74" s="177" t="s">
        <v>103</v>
      </c>
      <c r="T74" s="178">
        <v>711091</v>
      </c>
    </row>
    <row r="75" spans="1:20" x14ac:dyDescent="0.3">
      <c r="A75" s="62">
        <v>72</v>
      </c>
      <c r="B75" s="90" t="s">
        <v>20</v>
      </c>
      <c r="C75" s="70">
        <f t="shared" si="8"/>
        <v>1107208</v>
      </c>
      <c r="D75" s="7">
        <f t="shared" si="9"/>
        <v>4.8568924479952064E-2</v>
      </c>
      <c r="E75" s="85">
        <f t="shared" si="10"/>
        <v>1417241.2163250013</v>
      </c>
      <c r="F75" s="6">
        <v>1890472</v>
      </c>
      <c r="G75" s="7">
        <f t="shared" si="11"/>
        <v>8.2927680977254434E-2</v>
      </c>
      <c r="H75" s="85">
        <f t="shared" si="12"/>
        <v>2419829.7309162845</v>
      </c>
      <c r="I75" s="73">
        <v>22796634.100000001</v>
      </c>
      <c r="J75" s="87">
        <v>29179691.648000002</v>
      </c>
      <c r="K75" s="176">
        <v>0.28000000000000003</v>
      </c>
      <c r="L75" s="25">
        <v>29180000</v>
      </c>
      <c r="M75" s="30">
        <v>29180000</v>
      </c>
      <c r="N75" s="31">
        <f t="shared" si="7"/>
        <v>0</v>
      </c>
      <c r="O75" s="28">
        <f>VLOOKUP(B75,[15]AKSoftSalesReport!$B:$C,2,0)</f>
        <v>325632</v>
      </c>
      <c r="P75" s="28">
        <f>VLOOKUP(B75,[16]AKSoftSalesReport!$B:$C,2,0)</f>
        <v>485248</v>
      </c>
      <c r="Q75" s="28">
        <f t="shared" si="13"/>
        <v>159616</v>
      </c>
      <c r="R75" s="28">
        <v>1890472</v>
      </c>
      <c r="S75" s="179" t="s">
        <v>110</v>
      </c>
      <c r="T75" s="180">
        <v>1130257</v>
      </c>
    </row>
    <row r="76" spans="1:20" x14ac:dyDescent="0.3">
      <c r="A76" s="86">
        <v>73</v>
      </c>
      <c r="B76" s="89" t="s">
        <v>89</v>
      </c>
      <c r="C76" s="70">
        <f t="shared" si="8"/>
        <v>1190349</v>
      </c>
      <c r="D76" s="7">
        <f t="shared" si="9"/>
        <v>4.3838731343857198E-2</v>
      </c>
      <c r="E76" s="85">
        <f t="shared" si="10"/>
        <v>1547507.2164381591</v>
      </c>
      <c r="F76" s="6">
        <v>1933344</v>
      </c>
      <c r="G76" s="7">
        <f t="shared" si="11"/>
        <v>7.1202099729792065E-2</v>
      </c>
      <c r="H76" s="85">
        <f t="shared" si="12"/>
        <v>2513434.12046166</v>
      </c>
      <c r="I76" s="73">
        <v>27152907.109999999</v>
      </c>
      <c r="J76" s="87">
        <v>35298779.243000001</v>
      </c>
      <c r="K76" s="176">
        <v>0.3</v>
      </c>
      <c r="L76" s="1">
        <v>35300000</v>
      </c>
      <c r="M76" s="30">
        <v>35300000.000000015</v>
      </c>
      <c r="N76" s="31">
        <f t="shared" si="7"/>
        <v>0</v>
      </c>
      <c r="O76" s="28">
        <f>VLOOKUP(B76,[15]AKSoftSalesReport!$B:$C,2,0)</f>
        <v>333378</v>
      </c>
      <c r="P76" s="28">
        <f>VLOOKUP(B76,[16]AKSoftSalesReport!$B:$C,2,0)</f>
        <v>500009</v>
      </c>
      <c r="Q76" s="28">
        <f t="shared" si="13"/>
        <v>166631</v>
      </c>
      <c r="R76" s="28">
        <v>1933344</v>
      </c>
      <c r="S76" s="177" t="s">
        <v>180</v>
      </c>
      <c r="T76" s="178">
        <v>454297</v>
      </c>
    </row>
    <row r="77" spans="1:20" x14ac:dyDescent="0.3">
      <c r="A77" s="62">
        <v>74</v>
      </c>
      <c r="B77" s="90" t="s">
        <v>122</v>
      </c>
      <c r="C77" s="70">
        <f t="shared" si="8"/>
        <v>811390</v>
      </c>
      <c r="D77" s="7">
        <f t="shared" si="9"/>
        <v>6.1050476763525215E-2</v>
      </c>
      <c r="E77" s="85">
        <f t="shared" si="10"/>
        <v>1095245.5531376423</v>
      </c>
      <c r="F77" s="6">
        <v>966363</v>
      </c>
      <c r="G77" s="7">
        <f t="shared" si="11"/>
        <v>7.2710930473176297E-2</v>
      </c>
      <c r="H77" s="85">
        <f t="shared" si="12"/>
        <v>1304434.0926887828</v>
      </c>
      <c r="I77" s="73">
        <v>13290477.699999999</v>
      </c>
      <c r="J77" s="87">
        <v>17942144.895</v>
      </c>
      <c r="K77" s="176">
        <v>0.35</v>
      </c>
      <c r="L77" s="1">
        <v>17940000</v>
      </c>
      <c r="M77" s="30">
        <v>17940000.000000004</v>
      </c>
      <c r="N77" s="31">
        <f t="shared" si="7"/>
        <v>0</v>
      </c>
      <c r="O77" s="28">
        <f>VLOOKUP(B77,[15]AKSoftSalesReport!$B:$C,2,0)</f>
        <v>215003</v>
      </c>
      <c r="P77" s="28">
        <f>VLOOKUP(B77,[16]AKSoftSalesReport!$B:$C,2,0)</f>
        <v>242348</v>
      </c>
      <c r="Q77" s="28">
        <f t="shared" si="13"/>
        <v>27345</v>
      </c>
      <c r="R77" s="28">
        <v>966363</v>
      </c>
      <c r="S77" s="179" t="s">
        <v>56</v>
      </c>
      <c r="T77" s="180">
        <v>513852</v>
      </c>
    </row>
    <row r="78" spans="1:20" x14ac:dyDescent="0.3">
      <c r="A78" s="86">
        <v>75</v>
      </c>
      <c r="B78" s="89" t="s">
        <v>102</v>
      </c>
      <c r="C78" s="70">
        <f t="shared" si="8"/>
        <v>447647</v>
      </c>
      <c r="D78" s="7">
        <f t="shared" si="9"/>
        <v>5.9140649230620776E-2</v>
      </c>
      <c r="E78" s="85">
        <f t="shared" si="10"/>
        <v>537292.79826018971</v>
      </c>
      <c r="F78" s="6">
        <v>645572</v>
      </c>
      <c r="G78" s="7">
        <f t="shared" si="11"/>
        <v>8.5289407066528572E-2</v>
      </c>
      <c r="H78" s="85">
        <f t="shared" si="12"/>
        <v>774854.26319941203</v>
      </c>
      <c r="I78" s="73">
        <v>7569193.2000000002</v>
      </c>
      <c r="J78" s="87">
        <v>9083031.8399999999</v>
      </c>
      <c r="K78" s="176">
        <v>0.2</v>
      </c>
      <c r="L78" s="1">
        <v>9085000</v>
      </c>
      <c r="M78" s="30">
        <v>9085000</v>
      </c>
      <c r="N78" s="31">
        <f t="shared" si="7"/>
        <v>0</v>
      </c>
      <c r="O78" s="28">
        <f>VLOOKUP(B78,[15]AKSoftSalesReport!$B:$C,2,0)</f>
        <v>133853</v>
      </c>
      <c r="P78" s="28">
        <f>VLOOKUP(B78,[16]AKSoftSalesReport!$B:$C,2,0)</f>
        <v>162214</v>
      </c>
      <c r="Q78" s="28">
        <f t="shared" si="13"/>
        <v>28361</v>
      </c>
      <c r="R78" s="28">
        <v>645572</v>
      </c>
      <c r="S78" s="177" t="s">
        <v>55</v>
      </c>
      <c r="T78" s="178">
        <v>1294009</v>
      </c>
    </row>
    <row r="79" spans="1:20" x14ac:dyDescent="0.3">
      <c r="A79" s="62">
        <v>76</v>
      </c>
      <c r="B79" s="90" t="s">
        <v>19</v>
      </c>
      <c r="C79" s="70">
        <f t="shared" si="8"/>
        <v>319365</v>
      </c>
      <c r="D79" s="7">
        <f t="shared" si="9"/>
        <v>1.9539098984244007E-2</v>
      </c>
      <c r="E79" s="85">
        <f t="shared" si="10"/>
        <v>399183.79224810505</v>
      </c>
      <c r="F79" s="6">
        <v>1771431</v>
      </c>
      <c r="G79" s="7">
        <f t="shared" si="11"/>
        <v>0.10837808041819968</v>
      </c>
      <c r="H79" s="85">
        <f t="shared" si="12"/>
        <v>2214164.1829438196</v>
      </c>
      <c r="I79" s="74">
        <v>16344919.499999998</v>
      </c>
      <c r="J79" s="87">
        <v>20431149.374999996</v>
      </c>
      <c r="K79" s="176">
        <v>0.25</v>
      </c>
      <c r="L79" s="25">
        <v>20430000</v>
      </c>
      <c r="M79" s="30">
        <v>20429999.999999996</v>
      </c>
      <c r="N79" s="31">
        <f t="shared" si="7"/>
        <v>0</v>
      </c>
      <c r="O79" s="28">
        <f>VLOOKUP(B79,[15]AKSoftSalesReport!$B:$C,2,0)</f>
        <v>98839</v>
      </c>
      <c r="P79" s="28">
        <f>VLOOKUP(B79,[16]AKSoftSalesReport!$B:$C,2,0)</f>
        <v>451722</v>
      </c>
      <c r="Q79" s="28">
        <f t="shared" si="13"/>
        <v>352883</v>
      </c>
      <c r="R79" s="28">
        <v>1771431</v>
      </c>
      <c r="S79" s="179" t="s">
        <v>46</v>
      </c>
      <c r="T79" s="180">
        <v>1317646</v>
      </c>
    </row>
    <row r="80" spans="1:20" x14ac:dyDescent="0.3">
      <c r="A80" s="86">
        <v>77</v>
      </c>
      <c r="B80" s="89" t="s">
        <v>90</v>
      </c>
      <c r="C80" s="70">
        <f t="shared" si="8"/>
        <v>1294009</v>
      </c>
      <c r="D80" s="7">
        <f t="shared" si="9"/>
        <v>5.1930772116583722E-2</v>
      </c>
      <c r="E80" s="85">
        <f t="shared" si="10"/>
        <v>1656072.3227978549</v>
      </c>
      <c r="F80" s="6">
        <v>1822964</v>
      </c>
      <c r="G80" s="7">
        <f t="shared" si="11"/>
        <v>7.3158631864798415E-2</v>
      </c>
      <c r="H80" s="85">
        <f t="shared" si="12"/>
        <v>2333028.7701684213</v>
      </c>
      <c r="I80" s="73">
        <v>24917961.879999999</v>
      </c>
      <c r="J80" s="87">
        <v>31894991.2064</v>
      </c>
      <c r="K80" s="176">
        <v>0.28000000000000003</v>
      </c>
      <c r="L80" s="3">
        <v>31890000</v>
      </c>
      <c r="M80" s="30">
        <v>31889999.999999996</v>
      </c>
      <c r="N80" s="31">
        <f t="shared" si="7"/>
        <v>0</v>
      </c>
      <c r="O80" s="28">
        <f>VLOOKUP(B80,[15]AKSoftSalesReport!$B:$C,2,0)</f>
        <v>346817</v>
      </c>
      <c r="P80" s="28">
        <f>VLOOKUP(B80,[16]AKSoftSalesReport!$B:$C,2,0)</f>
        <v>464741</v>
      </c>
      <c r="Q80" s="28">
        <f t="shared" si="13"/>
        <v>117924</v>
      </c>
      <c r="R80" s="28">
        <v>1822964</v>
      </c>
      <c r="S80" s="177" t="s">
        <v>5</v>
      </c>
      <c r="T80" s="178">
        <v>3777057</v>
      </c>
    </row>
    <row r="81" spans="1:20" x14ac:dyDescent="0.3">
      <c r="A81" s="62">
        <v>78</v>
      </c>
      <c r="B81" s="106" t="s">
        <v>144</v>
      </c>
      <c r="C81" s="70">
        <f t="shared" si="8"/>
        <v>779961</v>
      </c>
      <c r="D81" s="7">
        <f t="shared" si="9"/>
        <v>4.6051440804561306E-2</v>
      </c>
      <c r="E81" s="85">
        <f t="shared" si="10"/>
        <v>1013822.4693124171</v>
      </c>
      <c r="F81" s="6">
        <v>1085759</v>
      </c>
      <c r="G81" s="7">
        <f t="shared" si="11"/>
        <v>6.4106751897235484E-2</v>
      </c>
      <c r="H81" s="85">
        <f t="shared" si="12"/>
        <v>1411310.1430176392</v>
      </c>
      <c r="I81" s="73">
        <v>16936733.93</v>
      </c>
      <c r="J81" s="87">
        <v>22017754.108999997</v>
      </c>
      <c r="K81" s="176">
        <v>0.3</v>
      </c>
      <c r="L81" s="3">
        <v>22015000</v>
      </c>
      <c r="M81" s="30">
        <v>21217746.037647653</v>
      </c>
      <c r="N81" s="31">
        <f t="shared" si="7"/>
        <v>-797253.96235234663</v>
      </c>
      <c r="O81" s="28">
        <f>VLOOKUP(B81,[15]AKSoftSalesReport!$B:$C,2,0)</f>
        <v>205546</v>
      </c>
      <c r="P81" s="28">
        <f>VLOOKUP(B81,[16]AKSoftSalesReport!$B:$C,2,0)</f>
        <v>278072</v>
      </c>
      <c r="Q81" s="28">
        <f t="shared" si="13"/>
        <v>72526</v>
      </c>
      <c r="R81" s="28">
        <v>1085759</v>
      </c>
      <c r="S81" s="179" t="s">
        <v>181</v>
      </c>
      <c r="T81" s="180">
        <v>1026318</v>
      </c>
    </row>
    <row r="82" spans="1:20" x14ac:dyDescent="0.3">
      <c r="A82" s="86">
        <v>79</v>
      </c>
      <c r="B82" s="89" t="s">
        <v>119</v>
      </c>
      <c r="C82" s="70">
        <f t="shared" si="8"/>
        <v>454297</v>
      </c>
      <c r="D82" s="7">
        <f t="shared" si="9"/>
        <v>5.9161070940439611E-2</v>
      </c>
      <c r="E82" s="85">
        <f t="shared" si="10"/>
        <v>581553.32734452141</v>
      </c>
      <c r="F82" s="6">
        <v>660558</v>
      </c>
      <c r="G82" s="7">
        <f t="shared" si="11"/>
        <v>8.6021520499309723E-2</v>
      </c>
      <c r="H82" s="85">
        <f t="shared" si="12"/>
        <v>845591.54650821455</v>
      </c>
      <c r="I82" s="73">
        <v>7678985.3999999994</v>
      </c>
      <c r="J82" s="87">
        <v>9829101.311999999</v>
      </c>
      <c r="K82" s="176">
        <v>0.28000000000000003</v>
      </c>
      <c r="L82" s="1">
        <v>9830000</v>
      </c>
      <c r="M82" s="30">
        <v>9830000.0000000019</v>
      </c>
      <c r="N82" s="31">
        <f t="shared" si="7"/>
        <v>0</v>
      </c>
      <c r="O82" s="28">
        <f>VLOOKUP(B82,[15]AKSoftSalesReport!$B:$C,2,0)</f>
        <v>116862</v>
      </c>
      <c r="P82" s="28">
        <f>VLOOKUP(B82,[16]AKSoftSalesReport!$B:$C,2,0)</f>
        <v>158229</v>
      </c>
      <c r="Q82" s="28">
        <f t="shared" si="13"/>
        <v>41367</v>
      </c>
      <c r="R82" s="28">
        <v>660558</v>
      </c>
      <c r="S82" s="177" t="s">
        <v>59</v>
      </c>
      <c r="T82" s="178">
        <v>835295</v>
      </c>
    </row>
    <row r="83" spans="1:20" x14ac:dyDescent="0.3">
      <c r="A83" s="62">
        <v>80</v>
      </c>
      <c r="B83" s="106" t="s">
        <v>145</v>
      </c>
      <c r="C83" s="70"/>
      <c r="D83" s="7">
        <f t="shared" si="9"/>
        <v>0</v>
      </c>
      <c r="E83" s="85">
        <f t="shared" si="10"/>
        <v>0</v>
      </c>
      <c r="F83" s="70">
        <v>0</v>
      </c>
      <c r="G83" s="7">
        <f t="shared" si="11"/>
        <v>0</v>
      </c>
      <c r="H83" s="85">
        <f t="shared" si="12"/>
        <v>0</v>
      </c>
      <c r="I83" s="73">
        <v>5316331.8000000007</v>
      </c>
      <c r="J83" s="87">
        <v>6911231.3400000008</v>
      </c>
      <c r="K83" s="176">
        <v>0.3</v>
      </c>
      <c r="L83" s="1">
        <v>6910000</v>
      </c>
      <c r="M83" s="30">
        <v>2303333.333333333</v>
      </c>
      <c r="N83" s="31">
        <f t="shared" si="7"/>
        <v>-4606666.666666667</v>
      </c>
      <c r="O83" s="28"/>
      <c r="P83" s="28"/>
      <c r="Q83" s="28">
        <f t="shared" si="13"/>
        <v>0</v>
      </c>
      <c r="R83" s="28">
        <v>0</v>
      </c>
    </row>
    <row r="84" spans="1:20" x14ac:dyDescent="0.3">
      <c r="A84" s="86">
        <v>81</v>
      </c>
      <c r="B84" s="89" t="s">
        <v>110</v>
      </c>
      <c r="C84" s="70">
        <f t="shared" si="8"/>
        <v>1130257</v>
      </c>
      <c r="D84" s="7">
        <f t="shared" si="9"/>
        <v>7.19040846205109E-2</v>
      </c>
      <c r="E84" s="85">
        <f t="shared" si="10"/>
        <v>1356111.0359428355</v>
      </c>
      <c r="F84" s="6">
        <v>1590471</v>
      </c>
      <c r="G84" s="7">
        <f t="shared" si="11"/>
        <v>0.10118173244710592</v>
      </c>
      <c r="H84" s="85">
        <f t="shared" si="12"/>
        <v>1908287.4739524177</v>
      </c>
      <c r="I84" s="73">
        <v>15718954.02</v>
      </c>
      <c r="J84" s="87">
        <v>18862744.824000001</v>
      </c>
      <c r="K84" s="176">
        <v>0.2</v>
      </c>
      <c r="L84" s="1">
        <v>18860000</v>
      </c>
      <c r="M84" s="30">
        <v>18860000</v>
      </c>
      <c r="N84" s="31">
        <f t="shared" si="7"/>
        <v>0</v>
      </c>
      <c r="O84" s="28">
        <f>VLOOKUP(B84,[15]AKSoftSalesReport!$B:$C,2,0)</f>
        <v>279300</v>
      </c>
      <c r="P84" s="28">
        <f>VLOOKUP(B84,[16]AKSoftSalesReport!$B:$C,2,0)</f>
        <v>420865</v>
      </c>
      <c r="Q84" s="28">
        <f t="shared" si="13"/>
        <v>141565</v>
      </c>
      <c r="R84" s="28">
        <v>1590471</v>
      </c>
    </row>
    <row r="85" spans="1:20" ht="15" thickBot="1" x14ac:dyDescent="0.35">
      <c r="A85" s="62">
        <v>82</v>
      </c>
      <c r="B85" s="106" t="s">
        <v>152</v>
      </c>
      <c r="C85" s="70"/>
      <c r="D85" s="7">
        <f t="shared" si="9"/>
        <v>0</v>
      </c>
      <c r="E85" s="85">
        <f t="shared" si="10"/>
        <v>0</v>
      </c>
      <c r="F85" s="6">
        <v>477167</v>
      </c>
      <c r="G85" s="7">
        <f t="shared" si="11"/>
        <v>5.9609662130255862E-2</v>
      </c>
      <c r="H85" s="85">
        <f t="shared" si="12"/>
        <v>619940.48615466093</v>
      </c>
      <c r="I85" s="151">
        <v>8004860.0000000009</v>
      </c>
      <c r="J85" s="87">
        <v>10406318</v>
      </c>
      <c r="K85" s="176">
        <v>0.3</v>
      </c>
      <c r="L85" s="136">
        <v>10400000</v>
      </c>
      <c r="M85" s="30">
        <v>7579704.5294983303</v>
      </c>
      <c r="N85" s="31">
        <f t="shared" si="7"/>
        <v>-2820295.4705016697</v>
      </c>
      <c r="O85" s="28"/>
      <c r="P85" s="28">
        <f>VLOOKUP(B85,[16]AKSoftSalesReport!$B:$C,2,0)</f>
        <v>138047</v>
      </c>
      <c r="Q85" s="28">
        <f t="shared" si="13"/>
        <v>138047</v>
      </c>
      <c r="R85" s="28">
        <v>477167</v>
      </c>
    </row>
    <row r="86" spans="1:20" ht="15" thickBot="1" x14ac:dyDescent="0.35">
      <c r="A86" s="287" t="s">
        <v>21</v>
      </c>
      <c r="B86" s="288"/>
      <c r="C86" s="139">
        <v>77975340</v>
      </c>
      <c r="D86" s="82"/>
      <c r="E86" s="50">
        <v>96920798.785857379</v>
      </c>
      <c r="F86" s="80">
        <v>93853354</v>
      </c>
      <c r="G86" s="50"/>
      <c r="H86" s="50">
        <v>117208777.65849289</v>
      </c>
      <c r="I86" s="50">
        <v>1345657809.8218868</v>
      </c>
      <c r="J86" s="50">
        <v>1700039061.6688523</v>
      </c>
      <c r="K86" s="168">
        <v>0.24</v>
      </c>
      <c r="L86" s="50">
        <v>1700000000</v>
      </c>
      <c r="M86" s="145">
        <v>1658228129.8317184</v>
      </c>
      <c r="N86" s="143"/>
      <c r="O86" s="79"/>
    </row>
    <row r="87" spans="1:20" ht="21" customHeight="1" thickBot="1" x14ac:dyDescent="0.35">
      <c r="B87" s="142"/>
      <c r="C87" s="146"/>
      <c r="D87" s="146"/>
      <c r="E87" s="146"/>
      <c r="F87" s="146"/>
      <c r="G87" s="146"/>
      <c r="H87" s="146"/>
      <c r="J87" s="29" t="e">
        <f>#REF!+#REF!+E87+H87+#REF!+#REF!+#REF!+#REF!+#REF!+#REF!+#REF!+#REF!</f>
        <v>#REF!</v>
      </c>
      <c r="K87" s="137" t="s">
        <v>66</v>
      </c>
      <c r="L87" s="138" t="e">
        <f>L86-#REF!</f>
        <v>#REF!</v>
      </c>
      <c r="M87" s="144"/>
      <c r="N87" s="79" t="e">
        <f>#REF!+#REF!+E87+H87+#REF!+#REF!+#REF!+#REF!+#REF!+#REF!+#REF!+#REF!</f>
        <v>#REF!</v>
      </c>
    </row>
    <row r="88" spans="1:20" ht="15" thickBot="1" x14ac:dyDescent="0.35">
      <c r="B88" s="142"/>
      <c r="C88" s="148"/>
      <c r="D88" s="147"/>
      <c r="E88" s="115"/>
      <c r="F88" s="111"/>
      <c r="G88" s="147"/>
      <c r="H88" s="115"/>
      <c r="I88" s="79">
        <f>L86-1700000000</f>
        <v>0</v>
      </c>
      <c r="J88" s="29" t="e">
        <f>#REF!+#REF!+E88+H88+#REF!+#REF!+#REF!+#REF!+#REF!+#REF!+#REF!+#REF!</f>
        <v>#REF!</v>
      </c>
      <c r="K88" s="76" t="s">
        <v>65</v>
      </c>
      <c r="L88" s="77">
        <f>L86-I86</f>
        <v>354342190.17811322</v>
      </c>
      <c r="M88" s="75"/>
      <c r="N88" s="88" t="e">
        <f>N87-M86</f>
        <v>#REF!</v>
      </c>
    </row>
    <row r="89" spans="1:20" x14ac:dyDescent="0.3">
      <c r="C89" s="79"/>
      <c r="F89" s="172"/>
    </row>
    <row r="90" spans="1:20" x14ac:dyDescent="0.3">
      <c r="C90" s="79"/>
      <c r="K90" s="169"/>
      <c r="L90" s="149"/>
      <c r="M90" s="29"/>
    </row>
    <row r="91" spans="1:20" x14ac:dyDescent="0.3">
      <c r="L91" s="149"/>
      <c r="M91" s="29"/>
    </row>
    <row r="92" spans="1:20" x14ac:dyDescent="0.3">
      <c r="B92" s="52"/>
      <c r="C92" s="52"/>
      <c r="D92" s="52"/>
      <c r="E92" s="28"/>
      <c r="F92" s="52"/>
      <c r="G92" s="52"/>
      <c r="H92" s="28"/>
      <c r="J92" s="149" t="e">
        <f>#REF!+#REF!+E92+H92+#REF!+#REF!+#REF!+#REF!+#REF!+#REF!+#REF!+#REF!</f>
        <v>#REF!</v>
      </c>
      <c r="K92" s="169"/>
      <c r="L92" s="149"/>
      <c r="M92" s="29"/>
    </row>
  </sheetData>
  <mergeCells count="2">
    <mergeCell ref="E1:H2"/>
    <mergeCell ref="A86:B8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30"/>
  <sheetViews>
    <sheetView topLeftCell="B64" workbookViewId="0">
      <pane xSplit="1" topLeftCell="F1" activePane="topRight" state="frozen"/>
      <selection activeCell="B1" sqref="B1"/>
      <selection pane="topRight" activeCell="BC84" sqref="BC84"/>
    </sheetView>
  </sheetViews>
  <sheetFormatPr defaultRowHeight="14.4" x14ac:dyDescent="0.3"/>
  <cols>
    <col min="1" max="1" width="5.6640625" hidden="1" customWidth="1"/>
    <col min="2" max="2" width="27.44140625" customWidth="1"/>
    <col min="3" max="3" width="14.44140625" customWidth="1"/>
    <col min="4" max="4" width="7.5546875" customWidth="1"/>
    <col min="5" max="5" width="15.5546875" customWidth="1"/>
    <col min="6" max="6" width="14.44140625" customWidth="1"/>
    <col min="7" max="7" width="8.33203125" customWidth="1"/>
    <col min="8" max="8" width="15.5546875" customWidth="1"/>
    <col min="9" max="9" width="14.44140625" customWidth="1"/>
    <col min="10" max="10" width="7.88671875" customWidth="1"/>
    <col min="11" max="11" width="15.5546875" customWidth="1"/>
    <col min="12" max="12" width="14.44140625" hidden="1" customWidth="1"/>
    <col min="13" max="13" width="8.33203125" hidden="1" customWidth="1"/>
    <col min="14" max="14" width="16" hidden="1" customWidth="1"/>
    <col min="15" max="15" width="13.88671875" hidden="1" customWidth="1"/>
    <col min="16" max="16" width="7.5546875" hidden="1" customWidth="1"/>
    <col min="17" max="18" width="13.88671875" hidden="1" customWidth="1"/>
    <col min="19" max="19" width="7.6640625" hidden="1" customWidth="1"/>
    <col min="20" max="20" width="14.33203125" hidden="1" customWidth="1"/>
    <col min="21" max="21" width="13.88671875" hidden="1" customWidth="1"/>
    <col min="22" max="22" width="8" hidden="1" customWidth="1"/>
    <col min="23" max="24" width="13.88671875" hidden="1" customWidth="1"/>
    <col min="25" max="25" width="9.44140625" hidden="1" customWidth="1"/>
    <col min="26" max="27" width="0" hidden="1" customWidth="1"/>
    <col min="28" max="28" width="8" hidden="1" customWidth="1"/>
    <col min="29" max="30" width="0" hidden="1" customWidth="1"/>
    <col min="31" max="31" width="8" hidden="1" customWidth="1"/>
    <col min="32" max="33" width="0" hidden="1" customWidth="1"/>
    <col min="34" max="34" width="7.88671875" hidden="1" customWidth="1"/>
    <col min="35" max="35" width="13.44140625" hidden="1" customWidth="1"/>
    <col min="36" max="36" width="0" hidden="1" customWidth="1"/>
    <col min="37" max="37" width="8.33203125" hidden="1" customWidth="1"/>
    <col min="38" max="38" width="0" hidden="1" customWidth="1"/>
    <col min="39" max="39" width="17.109375" hidden="1" customWidth="1"/>
    <col min="40" max="40" width="17.33203125" hidden="1" customWidth="1"/>
    <col min="41" max="41" width="17.6640625" hidden="1" customWidth="1"/>
    <col min="42" max="42" width="17.33203125" hidden="1" customWidth="1"/>
    <col min="43" max="43" width="12" style="52" hidden="1" customWidth="1"/>
    <col min="44" max="44" width="16.5546875" hidden="1" customWidth="1"/>
    <col min="45" max="45" width="15.5546875" hidden="1" customWidth="1"/>
    <col min="46" max="46" width="13.109375" hidden="1" customWidth="1"/>
    <col min="48" max="48" width="13.109375" customWidth="1"/>
    <col min="49" max="49" width="11.77734375" customWidth="1"/>
    <col min="50" max="50" width="14.21875" customWidth="1"/>
    <col min="51" max="51" width="9.77734375" bestFit="1" customWidth="1"/>
    <col min="52" max="52" width="10.88671875" customWidth="1"/>
    <col min="53" max="53" width="9.5546875" customWidth="1"/>
    <col min="55" max="55" width="11" bestFit="1" customWidth="1"/>
  </cols>
  <sheetData>
    <row r="1" spans="1:55" ht="33.75" customHeight="1" thickBot="1" x14ac:dyDescent="0.35">
      <c r="E1" s="29"/>
      <c r="K1" s="281"/>
      <c r="L1" s="282"/>
      <c r="M1" s="282"/>
      <c r="N1" s="282"/>
      <c r="O1" s="282"/>
      <c r="P1" s="282"/>
      <c r="Q1" s="283"/>
      <c r="AI1" s="29"/>
      <c r="AJ1" s="29"/>
      <c r="AK1" s="29"/>
    </row>
    <row r="2" spans="1:55" ht="33.75" customHeight="1" thickBot="1" x14ac:dyDescent="0.35">
      <c r="K2" s="284"/>
      <c r="L2" s="285"/>
      <c r="M2" s="285"/>
      <c r="N2" s="285"/>
      <c r="O2" s="285"/>
      <c r="P2" s="285"/>
      <c r="Q2" s="286"/>
      <c r="AY2" s="256" t="s">
        <v>278</v>
      </c>
      <c r="BC2" s="256" t="s">
        <v>281</v>
      </c>
    </row>
    <row r="3" spans="1:55" ht="58.2" thickBot="1" x14ac:dyDescent="0.35">
      <c r="A3" s="66" t="s">
        <v>0</v>
      </c>
      <c r="B3" s="69" t="s">
        <v>1</v>
      </c>
      <c r="C3" s="19" t="s">
        <v>262</v>
      </c>
      <c r="D3" s="19"/>
      <c r="E3" s="20" t="s">
        <v>209</v>
      </c>
      <c r="F3" s="21" t="s">
        <v>271</v>
      </c>
      <c r="G3" s="21"/>
      <c r="H3" s="22" t="s">
        <v>210</v>
      </c>
      <c r="I3" s="19" t="s">
        <v>263</v>
      </c>
      <c r="J3" s="19"/>
      <c r="K3" s="20" t="s">
        <v>211</v>
      </c>
      <c r="L3" s="21" t="s">
        <v>264</v>
      </c>
      <c r="M3" s="21"/>
      <c r="N3" s="22" t="s">
        <v>212</v>
      </c>
      <c r="O3" s="21" t="s">
        <v>265</v>
      </c>
      <c r="P3" s="21"/>
      <c r="Q3" s="22" t="s">
        <v>213</v>
      </c>
      <c r="R3" s="19" t="s">
        <v>266</v>
      </c>
      <c r="S3" s="19"/>
      <c r="T3" s="20" t="s">
        <v>214</v>
      </c>
      <c r="U3" s="19" t="s">
        <v>272</v>
      </c>
      <c r="V3" s="19"/>
      <c r="W3" s="20" t="s">
        <v>215</v>
      </c>
      <c r="X3" s="19" t="s">
        <v>267</v>
      </c>
      <c r="Y3" s="19"/>
      <c r="Z3" s="20" t="s">
        <v>216</v>
      </c>
      <c r="AA3" s="19" t="s">
        <v>268</v>
      </c>
      <c r="AB3" s="19"/>
      <c r="AC3" s="20" t="s">
        <v>217</v>
      </c>
      <c r="AD3" s="19" t="s">
        <v>269</v>
      </c>
      <c r="AE3" s="19"/>
      <c r="AF3" s="20" t="s">
        <v>218</v>
      </c>
      <c r="AG3" s="19" t="s">
        <v>273</v>
      </c>
      <c r="AH3" s="19"/>
      <c r="AI3" s="20" t="s">
        <v>219</v>
      </c>
      <c r="AJ3" s="19" t="s">
        <v>270</v>
      </c>
      <c r="AK3" s="19"/>
      <c r="AL3" s="20" t="s">
        <v>220</v>
      </c>
      <c r="AM3" s="23" t="s">
        <v>37</v>
      </c>
      <c r="AN3" s="23" t="s">
        <v>38</v>
      </c>
      <c r="AO3" s="23" t="s">
        <v>39</v>
      </c>
      <c r="AP3" s="23" t="s">
        <v>154</v>
      </c>
      <c r="AQ3" s="236" t="s">
        <v>127</v>
      </c>
      <c r="AR3" s="23" t="s">
        <v>107</v>
      </c>
      <c r="AS3" s="238" t="s">
        <v>126</v>
      </c>
      <c r="AT3" s="24" t="s">
        <v>40</v>
      </c>
      <c r="AV3" s="252" t="s">
        <v>274</v>
      </c>
      <c r="AW3" s="255" t="s">
        <v>275</v>
      </c>
      <c r="AX3" s="252" t="s">
        <v>276</v>
      </c>
      <c r="AY3" s="252" t="s">
        <v>277</v>
      </c>
      <c r="AZ3" s="252" t="s">
        <v>276</v>
      </c>
      <c r="BA3" s="255" t="s">
        <v>275</v>
      </c>
      <c r="BB3" s="252" t="s">
        <v>280</v>
      </c>
      <c r="BC3" s="252" t="s">
        <v>277</v>
      </c>
    </row>
    <row r="4" spans="1:55" x14ac:dyDescent="0.3">
      <c r="A4" s="239">
        <v>1</v>
      </c>
      <c r="B4" s="89" t="s">
        <v>5</v>
      </c>
      <c r="C4" s="70">
        <f>VLOOKUP(B4,[3]AKSoftSalesReport!$B$2:$C$87,2,0)</f>
        <v>5317932.709999959</v>
      </c>
      <c r="D4" s="7">
        <f>C4/AO4</f>
        <v>8.2253462460508436E-2</v>
      </c>
      <c r="E4" s="85">
        <f>D4*AR4</f>
        <v>6275116.6511121886</v>
      </c>
      <c r="F4" s="70">
        <f>VLOOKUP(B4,[4]AKSoftSalesReport!$B$2:$C$87,2,0)</f>
        <v>4819418.3599999994</v>
      </c>
      <c r="G4" s="7">
        <f>F4/AO4</f>
        <v>7.4542847526129788E-2</v>
      </c>
      <c r="H4" s="85">
        <f>G4*AR4</f>
        <v>5686873.8377684411</v>
      </c>
      <c r="I4" s="70">
        <f>VLOOKUP(B4,[5]AKSoftSalesReport!$B$2:$C$87,2,0)</f>
        <v>3650407.66</v>
      </c>
      <c r="J4" s="7">
        <f>I4/AO4</f>
        <v>5.646153981278277E-2</v>
      </c>
      <c r="K4" s="85">
        <f>J4*AR4</f>
        <v>4307450.8723171977</v>
      </c>
      <c r="L4" s="6">
        <f>VLOOKUP(B4,[6]AKSoftSalesReport!$B$2:$C$87,2,0)</f>
        <v>5104474.1499999985</v>
      </c>
      <c r="M4" s="7">
        <f>L4/AO4</f>
        <v>7.8951858884589735E-2</v>
      </c>
      <c r="N4" s="85">
        <f>M4*AR4</f>
        <v>6023237.3143053511</v>
      </c>
      <c r="O4" s="6">
        <f>VLOOKUP(B4,[7]AKSoftSalesReport!$B$2:$C$89,2,0)</f>
        <v>5599593.7099999851</v>
      </c>
      <c r="P4" s="7">
        <f>O4/AO4</f>
        <v>8.6609965965437449E-2</v>
      </c>
      <c r="Q4" s="85">
        <f>P4*AR4</f>
        <v>6607474.3035032228</v>
      </c>
      <c r="R4" s="6">
        <f>VLOOKUP(B4,[8]AKSoftSalesReport!$B$2:$C$93,2,0)</f>
        <v>5710514.1399999363</v>
      </c>
      <c r="S4" s="7">
        <f>R4/AO4</f>
        <v>8.8325593056383558E-2</v>
      </c>
      <c r="T4" s="85">
        <f>S4*AR4</f>
        <v>6738359.4942715019</v>
      </c>
      <c r="U4" s="71">
        <f>VLOOKUP(B4,[9]AKSoftSalesReport!$B$2:$C$94,2,0)</f>
        <v>6182323.3199999835</v>
      </c>
      <c r="V4" s="7">
        <f>U4/AO4</f>
        <v>9.562315411853875E-2</v>
      </c>
      <c r="W4" s="85">
        <f>V4*AR4</f>
        <v>7295090.427703321</v>
      </c>
      <c r="X4" s="71">
        <f>VLOOKUP(B4,[10]AKSoftSalesReport!$B$2:$C$94,2,0)</f>
        <v>5424877.4699999643</v>
      </c>
      <c r="Y4" s="7">
        <f>X4/AO4</f>
        <v>8.3907597118035651E-2</v>
      </c>
      <c r="Z4" s="85">
        <f>Y4*AR4</f>
        <v>6401310.5841349401</v>
      </c>
      <c r="AA4" s="71">
        <f>VLOOKUP(B4,[11]AKSoftSalesReport!$B$2:$C$94,2,0)</f>
        <v>5503797.0399999795</v>
      </c>
      <c r="AB4" s="7">
        <f>AA4/AO4</f>
        <v>8.5128260906464026E-2</v>
      </c>
      <c r="AC4" s="85">
        <f>AB4*AR4</f>
        <v>6494435.0245541409</v>
      </c>
      <c r="AD4" s="51">
        <f>VLOOKUP(B4,[12]AKSoftSalesReport!$B$2:$C$89,2,0)</f>
        <v>5873879.8899999503</v>
      </c>
      <c r="AE4" s="7">
        <f>AD4/AO4</f>
        <v>9.0852401746476796E-2</v>
      </c>
      <c r="AF4" s="85">
        <f>AE4*AR4</f>
        <v>6931129.729238715</v>
      </c>
      <c r="AG4" s="154">
        <f>VLOOKUP(B4,[13]AKSoftSalesReport!$B$2:$C$90,2,0)</f>
        <v>5713409</v>
      </c>
      <c r="AH4" s="7">
        <f>AG4/AO4</f>
        <v>8.8370368398857507E-2</v>
      </c>
      <c r="AI4" s="85">
        <f>AH4*AR4</f>
        <v>6741775.4051488396</v>
      </c>
      <c r="AJ4" s="104">
        <f>VLOOKUP(B4,[14]AKSoftSalesReport!$A:$D,4,0)</f>
        <v>5752367.7057142835</v>
      </c>
      <c r="AK4" s="7">
        <f>AJ4/AO4</f>
        <v>8.8972950005795484E-2</v>
      </c>
      <c r="AL4" s="85">
        <f>AK4*AR4</f>
        <v>6787746.3559421375</v>
      </c>
      <c r="AM4" s="6">
        <f>AJ4+AG4+AD4+AA4+X4+U4+R4+O4+L4+I4+F4+C4</f>
        <v>64652995.155714042</v>
      </c>
      <c r="AN4" s="6"/>
      <c r="AO4" s="104">
        <v>64652995.155714042</v>
      </c>
      <c r="AP4" s="87">
        <f>(AO4*AQ4)+AO4</f>
        <v>76290534.283742577</v>
      </c>
      <c r="AQ4" s="237">
        <v>0.18</v>
      </c>
      <c r="AR4" s="87">
        <v>76290000</v>
      </c>
      <c r="AS4" s="240">
        <f>E4+H4+K4+N4+Q4+T4+W4+Z4+AC4+AF4+AI4+AL4</f>
        <v>76290000</v>
      </c>
      <c r="AT4" s="31">
        <f t="shared" ref="AT4:AT15" si="0">AS4-AR4</f>
        <v>0</v>
      </c>
      <c r="AV4" s="253">
        <f>VLOOKUP(B4,[17]AKSoftSalesReport!$A:$B,2,0)</f>
        <v>1725093.94</v>
      </c>
      <c r="AW4" s="28">
        <f>F4-AV4</f>
        <v>3094324.4199999995</v>
      </c>
      <c r="AX4" s="28">
        <f>VLOOKUP(B4,[18]AKSoftSalesReport!$A:$B,2,0)</f>
        <v>990614</v>
      </c>
      <c r="AY4" s="79">
        <f>AW4+AX4</f>
        <v>4084938.4199999995</v>
      </c>
      <c r="AZ4" s="28">
        <v>990614</v>
      </c>
      <c r="BA4" s="28">
        <f>I4-AZ4</f>
        <v>2659793.66</v>
      </c>
      <c r="BB4" s="28">
        <f>VLOOKUP(B4,[19]AKSoftSalesReport!$A:$B,2,0)</f>
        <v>1597036</v>
      </c>
      <c r="BC4" s="28">
        <f>BA4+BB4</f>
        <v>4256829.66</v>
      </c>
    </row>
    <row r="5" spans="1:55" x14ac:dyDescent="0.3">
      <c r="A5" s="61">
        <v>2</v>
      </c>
      <c r="B5" s="90" t="s">
        <v>47</v>
      </c>
      <c r="C5" s="70">
        <f>VLOOKUP(B5,[3]AKSoftSalesReport!$B$2:$C$87,2,0)</f>
        <v>4435284.459999932</v>
      </c>
      <c r="D5" s="7">
        <f>C5/AO5</f>
        <v>7.0402364140019713E-2</v>
      </c>
      <c r="E5" s="85">
        <f t="shared" ref="E5:E68" si="1">D5*AR5</f>
        <v>5765249.5994262146</v>
      </c>
      <c r="F5" s="70">
        <f>VLOOKUP(B5,[4]AKSoftSalesReport!$B$2:$C$87,2,0)</f>
        <v>4520986.1799999988</v>
      </c>
      <c r="G5" s="7">
        <f>F5/AO5</f>
        <v>7.1762728678818832E-2</v>
      </c>
      <c r="H5" s="85">
        <f t="shared" ref="H5:H68" si="2">G5*AR5</f>
        <v>5876649.851508474</v>
      </c>
      <c r="I5" s="70">
        <f>VLOOKUP(B5,[5]AKSoftSalesReport!$B$2:$C$87,2,0)</f>
        <v>3061362.5</v>
      </c>
      <c r="J5" s="7">
        <f>I5/AO5</f>
        <v>4.8593762008582508E-2</v>
      </c>
      <c r="K5" s="85">
        <f t="shared" ref="K5:K68" si="3">J5*AR5</f>
        <v>3979343.1708828215</v>
      </c>
      <c r="L5" s="6">
        <f>VLOOKUP(B5,[6]AKSoftSalesReport!$B$2:$C$87,2,0)</f>
        <v>4787408.1699999981</v>
      </c>
      <c r="M5" s="7">
        <f>L5/AO5</f>
        <v>7.5991710635680484E-2</v>
      </c>
      <c r="N5" s="85">
        <f t="shared" ref="N5:N68" si="4">M5*AR5</f>
        <v>6222961.1839558752</v>
      </c>
      <c r="O5" s="6">
        <f>VLOOKUP(B5,[7]AKSoftSalesReport!$B$2:$C$89,2,0)</f>
        <v>5485897.2599999681</v>
      </c>
      <c r="P5" s="7">
        <f>O5/AO5</f>
        <v>8.7079000234690701E-2</v>
      </c>
      <c r="Q5" s="85">
        <f t="shared" ref="Q5:Q68" si="5">P5*AR5</f>
        <v>7130899.3292188216</v>
      </c>
      <c r="R5" s="6">
        <f>VLOOKUP(B5,[8]AKSoftSalesReport!$B$2:$C$93,2,0)</f>
        <v>5127082.089999998</v>
      </c>
      <c r="S5" s="7">
        <f>R5/AO5</f>
        <v>8.1383438544088041E-2</v>
      </c>
      <c r="T5" s="85">
        <f t="shared" ref="T5:T68" si="6">S5*AR5</f>
        <v>6664489.7823753692</v>
      </c>
      <c r="U5" s="71">
        <f>VLOOKUP(B5,[9]AKSoftSalesReport!$B$2:$C$94,2,0)</f>
        <v>5811343</v>
      </c>
      <c r="V5" s="7">
        <f>U5/AO5</f>
        <v>9.2244880732759313E-2</v>
      </c>
      <c r="W5" s="85">
        <f t="shared" ref="W5:W68" si="7">V5*AR5</f>
        <v>7553933.2832056601</v>
      </c>
      <c r="X5" s="71">
        <f>VLOOKUP(B5,[10]AKSoftSalesReport!$B$2:$C$94,2,0)</f>
        <v>6191838.319999936</v>
      </c>
      <c r="Y5" s="7">
        <f>X5/AO5</f>
        <v>9.8284576791444409E-2</v>
      </c>
      <c r="Z5" s="85">
        <f t="shared" ref="Z5:Z68" si="8">Y5*AR5</f>
        <v>8048523.993451383</v>
      </c>
      <c r="AA5" s="71">
        <f>VLOOKUP(B5,[11]AKSoftSalesReport!$B$2:$C$94,2,0)</f>
        <v>5703893.799999997</v>
      </c>
      <c r="AB5" s="7">
        <f>AA5/AO5</f>
        <v>9.0539313080182163E-2</v>
      </c>
      <c r="AC5" s="85">
        <f t="shared" ref="AC5:AC68" si="9">AB5*AR5</f>
        <v>7414264.3481361177</v>
      </c>
      <c r="AD5" s="51">
        <f>VLOOKUP(B5,[12]AKSoftSalesReport!$B$2:$C$89,2,0)</f>
        <v>5986546.8699999321</v>
      </c>
      <c r="AE5" s="7">
        <f>AD5/AO5</f>
        <v>9.5025934973072032E-2</v>
      </c>
      <c r="AF5" s="85">
        <f t="shared" ref="AF5:AF68" si="10">AE5*AR5</f>
        <v>7781673.8149448689</v>
      </c>
      <c r="AG5" s="154">
        <f>VLOOKUP(B5,[13]AKSoftSalesReport!$B$2:$C$90,2,0)</f>
        <v>5878381</v>
      </c>
      <c r="AH5" s="7">
        <f>AG5/AO5</f>
        <v>9.3308991440828479E-2</v>
      </c>
      <c r="AI5" s="85">
        <f t="shared" ref="AI5:AI68" si="11">AH5*AR5</f>
        <v>7641073.3090894446</v>
      </c>
      <c r="AJ5" s="104">
        <f>VLOOKUP(B5,[14]AKSoftSalesReport!$A:$D,4,0)</f>
        <v>6009060.4599999851</v>
      </c>
      <c r="AK5" s="7">
        <f>AJ5/AO5</f>
        <v>9.53832987398332E-2</v>
      </c>
      <c r="AL5" s="85">
        <f t="shared" ref="AL5:AL68" si="12">AK5*AR5</f>
        <v>7810938.3338049408</v>
      </c>
      <c r="AM5" s="6">
        <f t="shared" ref="AM5:AM68" si="13">AJ5+AG5+AD5+AA5+X5+U5+R5+O5+L5+I5+F5+C5</f>
        <v>62999084.109999754</v>
      </c>
      <c r="AN5" s="6"/>
      <c r="AO5" s="104">
        <v>62999084.109999754</v>
      </c>
      <c r="AP5" s="87">
        <f>(AO5*AQ5)+AO5</f>
        <v>81898809.342999682</v>
      </c>
      <c r="AQ5" s="237">
        <v>0.3</v>
      </c>
      <c r="AR5" s="25">
        <v>81890000</v>
      </c>
      <c r="AS5" s="240">
        <f>E5+H5+K5+N5+Q5+T5+W5+Z5+AC5+AF5+AI5+AL5</f>
        <v>81890000</v>
      </c>
      <c r="AT5" s="31">
        <f>AS5-AR5</f>
        <v>0</v>
      </c>
      <c r="AV5" s="253">
        <f>VLOOKUP(B5,[17]AKSoftSalesReport!$A:$B,2,0)</f>
        <v>1702201</v>
      </c>
      <c r="AW5" s="28">
        <f t="shared" ref="AW5:AW68" si="14">F5-AV5</f>
        <v>2818785.1799999988</v>
      </c>
      <c r="AX5" s="28">
        <f>VLOOKUP(B5,[18]AKSoftSalesReport!$A:$B,2,0)</f>
        <v>1012365.5</v>
      </c>
      <c r="AY5" s="79">
        <f t="shared" ref="AY5:AY68" si="15">AW5+AX5</f>
        <v>3831150.6799999988</v>
      </c>
      <c r="AZ5" s="28">
        <v>1012365.5</v>
      </c>
      <c r="BA5" s="28">
        <f t="shared" ref="BA5:BA68" si="16">I5-AZ5</f>
        <v>2048997</v>
      </c>
      <c r="BB5" s="28">
        <f>VLOOKUP(B5,[19]AKSoftSalesReport!$A:$B,2,0)</f>
        <v>1553461</v>
      </c>
      <c r="BC5" s="28">
        <f t="shared" ref="BC5:BC68" si="17">BA5+BB5</f>
        <v>3602458</v>
      </c>
    </row>
    <row r="6" spans="1:55" x14ac:dyDescent="0.3">
      <c r="A6" s="239">
        <v>3</v>
      </c>
      <c r="B6" s="89" t="s">
        <v>123</v>
      </c>
      <c r="C6" s="70">
        <f>VLOOKUP(B6,[3]AKSoftSalesReport!$B$2:$C$87,2,0)</f>
        <v>5132654</v>
      </c>
      <c r="D6" s="7">
        <f t="shared" ref="D6:D74" si="18">C6/AO6</f>
        <v>8.1930501677283857E-2</v>
      </c>
      <c r="E6" s="85">
        <f t="shared" si="1"/>
        <v>6056302.6839848226</v>
      </c>
      <c r="F6" s="70">
        <f>VLOOKUP(B6,[4]AKSoftSalesReport!$B$2:$C$87,2,0)</f>
        <v>5073403.5</v>
      </c>
      <c r="G6" s="7">
        <f t="shared" ref="G6:G74" si="19">F6/AO6</f>
        <v>8.0984709658256285E-2</v>
      </c>
      <c r="H6" s="85">
        <f t="shared" si="2"/>
        <v>5986389.7379383044</v>
      </c>
      <c r="I6" s="70">
        <f>VLOOKUP(B6,[5]AKSoftSalesReport!$B$2:$C$87,2,0)</f>
        <v>3268612</v>
      </c>
      <c r="J6" s="7">
        <f t="shared" ref="J6:J74" si="20">I6/AO6</f>
        <v>5.2175545234179069E-2</v>
      </c>
      <c r="K6" s="85">
        <f t="shared" si="3"/>
        <v>3856816.3037105165</v>
      </c>
      <c r="L6" s="6">
        <f>VLOOKUP(B6,[6]AKSoftSalesReport!$B$2:$C$87,2,0)</f>
        <v>4907708.5</v>
      </c>
      <c r="M6" s="7">
        <f t="shared" ref="M6:M74" si="21">L6/AO6</f>
        <v>7.8339786685576354E-2</v>
      </c>
      <c r="N6" s="85">
        <f t="shared" si="4"/>
        <v>5790877.0317978039</v>
      </c>
      <c r="O6" s="6">
        <f>VLOOKUP(B6,[7]AKSoftSalesReport!$B$2:$C$89,2,0)</f>
        <v>5880450</v>
      </c>
      <c r="P6" s="7">
        <f t="shared" ref="P6:P74" si="22">O6/AO6</f>
        <v>9.3867269951994389E-2</v>
      </c>
      <c r="Q6" s="85">
        <f t="shared" si="5"/>
        <v>6938668.5948514249</v>
      </c>
      <c r="R6" s="6">
        <f>VLOOKUP(B6,[8]AKSoftSalesReport!$B$2:$C$93,2,0)</f>
        <v>5852935</v>
      </c>
      <c r="S6" s="7">
        <f t="shared" ref="S6:S74" si="23">R6/AO6</f>
        <v>9.3428059018693527E-2</v>
      </c>
      <c r="T6" s="85">
        <f t="shared" si="6"/>
        <v>6906202.1226618253</v>
      </c>
      <c r="U6" s="71">
        <f>VLOOKUP(B6,[9]AKSoftSalesReport!$B$2:$C$94,2,0)</f>
        <v>5628935</v>
      </c>
      <c r="V6" s="7">
        <f t="shared" ref="V6:V74" si="24">U6/AO6</f>
        <v>8.9852436665090185E-2</v>
      </c>
      <c r="W6" s="85">
        <f t="shared" si="7"/>
        <v>6641892.1182834664</v>
      </c>
      <c r="X6" s="71">
        <f>VLOOKUP(B6,[10]AKSoftSalesReport!$B$2:$C$94,2,0)</f>
        <v>5268691</v>
      </c>
      <c r="Y6" s="7">
        <f t="shared" ref="Y6:Y74" si="25">X6/AO6</f>
        <v>8.4102005865306792E-2</v>
      </c>
      <c r="Z6" s="85">
        <f t="shared" si="8"/>
        <v>6216820.2735634781</v>
      </c>
      <c r="AA6" s="71">
        <f>VLOOKUP(B6,[11]AKSoftSalesReport!$B$2:$C$94,2,0)</f>
        <v>5439385</v>
      </c>
      <c r="AB6" s="7">
        <f t="shared" ref="AB6:AB74" si="26">AA6/AO6</f>
        <v>8.6826725874351293E-2</v>
      </c>
      <c r="AC6" s="85">
        <f t="shared" si="9"/>
        <v>6418231.576632048</v>
      </c>
      <c r="AD6" s="51">
        <f>VLOOKUP(B6,[12]AKSoftSalesReport!$B$2:$C$89,2,0)</f>
        <v>5522649</v>
      </c>
      <c r="AE6" s="7">
        <f t="shared" ref="AE6:AE74" si="27">AD6/AO6</f>
        <v>8.8155835783504985E-2</v>
      </c>
      <c r="AF6" s="85">
        <f t="shared" si="10"/>
        <v>6516479.3811166883</v>
      </c>
      <c r="AG6" s="154">
        <f>VLOOKUP(B6,[13]AKSoftSalesReport!$B$2:$C$90,2,0)</f>
        <v>5196281</v>
      </c>
      <c r="AH6" s="7">
        <f t="shared" ref="AH6:AH74" si="28">AG6/AO6</f>
        <v>8.2946154014304926E-2</v>
      </c>
      <c r="AI6" s="85">
        <f t="shared" si="11"/>
        <v>6131379.7047374202</v>
      </c>
      <c r="AJ6" s="104">
        <f>VLOOKUP(B6,[14]AKSoftSalesReport!$A:$D,4,0)</f>
        <v>5474732.8571428573</v>
      </c>
      <c r="AK6" s="7">
        <f t="shared" ref="AK6:AK74" si="29">AJ6/AO6</f>
        <v>8.7390969571458338E-2</v>
      </c>
      <c r="AL6" s="85">
        <f t="shared" si="12"/>
        <v>6459940.4707222003</v>
      </c>
      <c r="AM6" s="6">
        <f t="shared" si="13"/>
        <v>62646436.857142858</v>
      </c>
      <c r="AN6" s="6"/>
      <c r="AO6" s="104">
        <v>62646436.857142858</v>
      </c>
      <c r="AP6" s="87">
        <f t="shared" ref="AP6:AP74" si="30">(AO6*AQ6)+AO6</f>
        <v>73922795.491428569</v>
      </c>
      <c r="AQ6" s="237">
        <v>0.18</v>
      </c>
      <c r="AR6" s="25">
        <v>73920000</v>
      </c>
      <c r="AS6" s="240">
        <f>E6+H6+K6+N6+Q6+T6+W6+Z6+AC6+AF6+AI6+AL6</f>
        <v>73919999.999999985</v>
      </c>
      <c r="AT6" s="31">
        <f t="shared" si="0"/>
        <v>0</v>
      </c>
      <c r="AV6" s="253">
        <f>VLOOKUP(B6,[17]AKSoftSalesReport!$A:$B,2,0)</f>
        <v>1894968.5</v>
      </c>
      <c r="AW6" s="28">
        <f t="shared" si="14"/>
        <v>3178435</v>
      </c>
      <c r="AX6" s="28">
        <f>VLOOKUP(B6,[18]AKSoftSalesReport!$A:$B,2,0)</f>
        <v>807679</v>
      </c>
      <c r="AY6" s="79">
        <f t="shared" si="15"/>
        <v>3986114</v>
      </c>
      <c r="AZ6" s="28">
        <v>807679</v>
      </c>
      <c r="BA6" s="28">
        <f t="shared" si="16"/>
        <v>2460933</v>
      </c>
      <c r="BB6" s="28">
        <f>VLOOKUP(B6,[19]AKSoftSalesReport!$A:$B,2,0)</f>
        <v>1717882.5</v>
      </c>
      <c r="BC6" s="28">
        <f t="shared" si="17"/>
        <v>4178815.5</v>
      </c>
    </row>
    <row r="7" spans="1:55" x14ac:dyDescent="0.3">
      <c r="A7" s="61">
        <v>4</v>
      </c>
      <c r="B7" s="90" t="s">
        <v>68</v>
      </c>
      <c r="C7" s="70">
        <f>VLOOKUP(B7,[3]AKSoftSalesReport!$B$2:$C$87,2,0)</f>
        <v>5569018.4099999638</v>
      </c>
      <c r="D7" s="7">
        <f t="shared" si="18"/>
        <v>7.2675876561271224E-2</v>
      </c>
      <c r="E7" s="85">
        <f t="shared" si="1"/>
        <v>6794104.3203304401</v>
      </c>
      <c r="F7" s="70">
        <f>VLOOKUP(B7,[4]AKSoftSalesReport!$B$2:$C$87,2,0)</f>
        <v>5259214</v>
      </c>
      <c r="G7" s="7">
        <f t="shared" si="19"/>
        <v>6.8632918646306273E-2</v>
      </c>
      <c r="H7" s="85">
        <f t="shared" si="2"/>
        <v>6416148.3996499423</v>
      </c>
      <c r="I7" s="70">
        <f>VLOOKUP(B7,[5]AKSoftSalesReport!$B$2:$C$87,2,0)</f>
        <v>4076086</v>
      </c>
      <c r="J7" s="7">
        <f t="shared" si="20"/>
        <v>5.3193058664916082E-2</v>
      </c>
      <c r="K7" s="85">
        <f t="shared" si="3"/>
        <v>4972753.0892896801</v>
      </c>
      <c r="L7" s="6">
        <f>VLOOKUP(B7,[6]AKSoftSalesReport!$B$2:$C$87,2,0)</f>
        <v>5559430.1299999887</v>
      </c>
      <c r="M7" s="7">
        <f t="shared" si="21"/>
        <v>7.2550749186496913E-2</v>
      </c>
      <c r="N7" s="85">
        <f t="shared" si="4"/>
        <v>6782406.787699664</v>
      </c>
      <c r="O7" s="6">
        <f>VLOOKUP(B7,[7]AKSoftSalesReport!$B$2:$C$89,2,0)</f>
        <v>6682623.1299999505</v>
      </c>
      <c r="P7" s="7">
        <f t="shared" si="22"/>
        <v>8.7208455412769129E-2</v>
      </c>
      <c r="Q7" s="85">
        <f t="shared" si="5"/>
        <v>8152682.4542627223</v>
      </c>
      <c r="R7" s="6">
        <f>VLOOKUP(B7,[8]AKSoftSalesReport!$B$2:$C$93,2,0)</f>
        <v>6501297.249999946</v>
      </c>
      <c r="S7" s="7">
        <f t="shared" si="23"/>
        <v>8.4842146612535835E-2</v>
      </c>
      <c r="T7" s="85">
        <f t="shared" si="6"/>
        <v>7931468.0760729127</v>
      </c>
      <c r="U7" s="71">
        <f>VLOOKUP(B7,[9]AKSoftSalesReport!$B$2:$C$94,2,0)</f>
        <v>6985115.9799999828</v>
      </c>
      <c r="V7" s="7">
        <f t="shared" si="24"/>
        <v>9.1155997225127697E-2</v>
      </c>
      <c r="W7" s="85">
        <f t="shared" si="7"/>
        <v>8521718.4005910624</v>
      </c>
      <c r="X7" s="71">
        <f>VLOOKUP(B7,[10]AKSoftSalesReport!$B$2:$C$94,2,0)</f>
        <v>6865864.5199999269</v>
      </c>
      <c r="Y7" s="7">
        <f t="shared" si="25"/>
        <v>8.9599761682585211E-2</v>
      </c>
      <c r="Z7" s="85">
        <f t="shared" si="8"/>
        <v>8376233.7208964787</v>
      </c>
      <c r="AA7" s="71">
        <f>VLOOKUP(B7,[11]AKSoftSalesReport!$B$2:$C$94,2,0)</f>
        <v>6852016.1400000006</v>
      </c>
      <c r="AB7" s="7">
        <f t="shared" si="26"/>
        <v>8.9419039860290456E-2</v>
      </c>
      <c r="AC7" s="85">
        <f t="shared" si="9"/>
        <v>8359338.9413392534</v>
      </c>
      <c r="AD7" s="51">
        <f>VLOOKUP(B7,[12]AKSoftSalesReport!$B$2:$C$89,2,0)</f>
        <v>7311907.2099999841</v>
      </c>
      <c r="AE7" s="7">
        <f t="shared" si="27"/>
        <v>9.5420633709384944E-2</v>
      </c>
      <c r="AF7" s="85">
        <f t="shared" si="10"/>
        <v>8920397.9423218518</v>
      </c>
      <c r="AG7" s="154">
        <f>VLOOKUP(B7,[13]AKSoftSalesReport!$B$2:$C$90,2,0)</f>
        <v>7157574.3499999931</v>
      </c>
      <c r="AH7" s="7">
        <f t="shared" si="28"/>
        <v>9.3406584723199709E-2</v>
      </c>
      <c r="AI7" s="85">
        <f t="shared" si="11"/>
        <v>8732114.5728483256</v>
      </c>
      <c r="AJ7" s="104">
        <f>VLOOKUP(B7,[14]AKSoftSalesReport!$A:$D,4,0)</f>
        <v>7808008.9271428483</v>
      </c>
      <c r="AK7" s="7">
        <f t="shared" si="29"/>
        <v>0.10189477771511642</v>
      </c>
      <c r="AL7" s="85">
        <f t="shared" si="12"/>
        <v>9525633.2946976591</v>
      </c>
      <c r="AM7" s="6">
        <f t="shared" si="13"/>
        <v>76628156.047142595</v>
      </c>
      <c r="AN7" s="101"/>
      <c r="AO7" s="104">
        <v>76628156.047142595</v>
      </c>
      <c r="AP7" s="87">
        <f t="shared" si="30"/>
        <v>93486350.377513975</v>
      </c>
      <c r="AQ7" s="237">
        <v>0.22</v>
      </c>
      <c r="AR7" s="1">
        <v>93485000</v>
      </c>
      <c r="AS7" s="240">
        <f t="shared" ref="AS7:AS75" si="31">E7+H7+K7+N7+Q7+T7+W7+Z7+AC7+AF7+AI7+AL7</f>
        <v>93484999.999999985</v>
      </c>
      <c r="AT7" s="31">
        <f t="shared" si="0"/>
        <v>0</v>
      </c>
      <c r="AV7" s="253">
        <f>VLOOKUP(B7,[17]AKSoftSalesReport!$A:$B,2,0)</f>
        <v>1907976</v>
      </c>
      <c r="AW7" s="28">
        <f t="shared" si="14"/>
        <v>3351238</v>
      </c>
      <c r="AX7" s="28">
        <f>VLOOKUP(B7,[18]AKSoftSalesReport!$A:$B,2,0)</f>
        <v>1129121</v>
      </c>
      <c r="AY7" s="79">
        <f t="shared" si="15"/>
        <v>4480359</v>
      </c>
      <c r="AZ7" s="28">
        <v>1129121</v>
      </c>
      <c r="BA7" s="28">
        <f t="shared" si="16"/>
        <v>2946965</v>
      </c>
      <c r="BB7" s="28">
        <f>VLOOKUP(B7,[19]AKSoftSalesReport!$A:$B,2,0)</f>
        <v>1750297</v>
      </c>
      <c r="BC7" s="28">
        <f t="shared" si="17"/>
        <v>4697262</v>
      </c>
    </row>
    <row r="8" spans="1:55" x14ac:dyDescent="0.3">
      <c r="A8" s="239">
        <v>5</v>
      </c>
      <c r="B8" s="89" t="s">
        <v>109</v>
      </c>
      <c r="C8" s="70">
        <f>VLOOKUP(B8,[3]AKSoftSalesReport!$B$2:$C$87,2,0)</f>
        <v>3267306.1799999904</v>
      </c>
      <c r="D8" s="7">
        <f>C8/AO8</f>
        <v>7.5413721238309556E-2</v>
      </c>
      <c r="E8" s="85">
        <f t="shared" si="1"/>
        <v>3985615.1674446599</v>
      </c>
      <c r="F8" s="70">
        <f>VLOOKUP(B8,[4]AKSoftSalesReport!$B$2:$C$87,2,0)</f>
        <v>2801140</v>
      </c>
      <c r="G8" s="7">
        <f>F8/AO8</f>
        <v>6.4653993066997803E-2</v>
      </c>
      <c r="H8" s="85">
        <f t="shared" si="2"/>
        <v>3416963.5335908341</v>
      </c>
      <c r="I8" s="70">
        <f>VLOOKUP(B8,[5]AKSoftSalesReport!$B$2:$C$87,2,0)</f>
        <v>2482112.5</v>
      </c>
      <c r="J8" s="7">
        <f>I8/AO8</f>
        <v>5.729041903171872E-2</v>
      </c>
      <c r="K8" s="85">
        <f t="shared" si="3"/>
        <v>3027798.6458263341</v>
      </c>
      <c r="L8" s="6">
        <f>VLOOKUP(B8,[6]AKSoftSalesReport!$B$2:$C$87,2,0)</f>
        <v>3308446.3799999976</v>
      </c>
      <c r="M8" s="7">
        <f>L8/AO8</f>
        <v>7.6363291129702124E-2</v>
      </c>
      <c r="N8" s="85">
        <f t="shared" si="4"/>
        <v>4035799.9362047571</v>
      </c>
      <c r="O8" s="6">
        <f>VLOOKUP(B8,[7]AKSoftSalesReport!$B$2:$C$89,2,0)</f>
        <v>3810981.7099999879</v>
      </c>
      <c r="P8" s="7">
        <f>O8/AO8</f>
        <v>8.7962467087255414E-2</v>
      </c>
      <c r="Q8" s="85">
        <f t="shared" si="5"/>
        <v>4648816.3855614485</v>
      </c>
      <c r="R8" s="6">
        <f>VLOOKUP(B8,[8]AKSoftSalesReport!$B$2:$C$93,2,0)</f>
        <v>3797412.0299999821</v>
      </c>
      <c r="S8" s="7">
        <f>R8/AO8</f>
        <v>8.7649261036632536E-2</v>
      </c>
      <c r="T8" s="85">
        <f t="shared" si="6"/>
        <v>4632263.4457860291</v>
      </c>
      <c r="U8" s="71">
        <f>VLOOKUP(B8,[9]AKSoftSalesReport!$B$2:$C$94,2,0)</f>
        <v>3835863.2899999963</v>
      </c>
      <c r="V8" s="7">
        <f>U8/AO8</f>
        <v>8.8536766658435892E-2</v>
      </c>
      <c r="W8" s="85">
        <f t="shared" si="7"/>
        <v>4679168.1178983366</v>
      </c>
      <c r="X8" s="71">
        <f>VLOOKUP(B8,[10]AKSoftSalesReport!$B$2:$C$94,2,0)</f>
        <v>3745987.6599999871</v>
      </c>
      <c r="Y8" s="7">
        <f>X8/AO8</f>
        <v>8.6462318983948849E-2</v>
      </c>
      <c r="Z8" s="85">
        <f t="shared" si="8"/>
        <v>4569533.5583016966</v>
      </c>
      <c r="AA8" s="71">
        <f>VLOOKUP(B8,[11]AKSoftSalesReport!$B$2:$C$94,2,0)</f>
        <v>4063902.489999997</v>
      </c>
      <c r="AB8" s="7">
        <f>AA8/AO8</f>
        <v>9.3800211133115402E-2</v>
      </c>
      <c r="AC8" s="85">
        <f t="shared" si="9"/>
        <v>4957341.1583851492</v>
      </c>
      <c r="AD8" s="51">
        <f>VLOOKUP(B8,[12]AKSoftSalesReport!$B$2:$C$89,2,0)</f>
        <v>4287353.6499999929</v>
      </c>
      <c r="AE8" s="7">
        <f>AD8/AO8</f>
        <v>9.8957757613995459E-2</v>
      </c>
      <c r="AF8" s="85">
        <f t="shared" si="10"/>
        <v>5229917.4898996605</v>
      </c>
      <c r="AG8" s="154">
        <f>VLOOKUP(B8,[13]AKSoftSalesReport!$B$2:$C$90,2,0)</f>
        <v>3998906</v>
      </c>
      <c r="AH8" s="7">
        <f>AG8/AO8</f>
        <v>9.2300006711401747E-2</v>
      </c>
      <c r="AI8" s="85">
        <f t="shared" si="11"/>
        <v>4878055.3546975823</v>
      </c>
      <c r="AJ8" s="104">
        <f>VLOOKUP(B8,[14]AKSoftSalesReport!$A:$D,4,0)</f>
        <v>3925677.0507142865</v>
      </c>
      <c r="AK8" s="7">
        <f>AJ8/AO8</f>
        <v>9.0609786308486484E-2</v>
      </c>
      <c r="AL8" s="85">
        <f t="shared" si="12"/>
        <v>4788727.2064035106</v>
      </c>
      <c r="AM8" s="6">
        <f t="shared" si="13"/>
        <v>43325088.940714218</v>
      </c>
      <c r="AN8" s="6"/>
      <c r="AO8" s="104">
        <v>43325088.940714218</v>
      </c>
      <c r="AP8" s="87">
        <f>(AO8*AQ8)+AO8</f>
        <v>52856608.507671341</v>
      </c>
      <c r="AQ8" s="237">
        <v>0.22</v>
      </c>
      <c r="AR8" s="1">
        <v>52850000</v>
      </c>
      <c r="AS8" s="240">
        <f>E8+H8+K8+N8+Q8+T8+W8+Z8+AC8+AF8+AI8+AL8</f>
        <v>52850000</v>
      </c>
      <c r="AT8" s="31">
        <f>AS8-AR8</f>
        <v>0</v>
      </c>
      <c r="AV8" s="253">
        <f>VLOOKUP(B8,[17]AKSoftSalesReport!$A:$B,2,0)</f>
        <v>1003019.5</v>
      </c>
      <c r="AW8" s="28">
        <f t="shared" si="14"/>
        <v>1798120.5</v>
      </c>
      <c r="AX8" s="28">
        <f>VLOOKUP(B8,[18]AKSoftSalesReport!$A:$B,2,0)</f>
        <v>693011.5</v>
      </c>
      <c r="AY8" s="79">
        <f t="shared" si="15"/>
        <v>2491132</v>
      </c>
      <c r="AZ8" s="28">
        <v>693011.5</v>
      </c>
      <c r="BA8" s="28">
        <f t="shared" si="16"/>
        <v>1789101</v>
      </c>
      <c r="BB8" s="28">
        <f>VLOOKUP(B8,[19]AKSoftSalesReport!$A:$B,2,0)</f>
        <v>1058541</v>
      </c>
      <c r="BC8" s="28">
        <f t="shared" si="17"/>
        <v>2847642</v>
      </c>
    </row>
    <row r="9" spans="1:55" x14ac:dyDescent="0.3">
      <c r="A9" s="61">
        <v>6</v>
      </c>
      <c r="B9" s="90" t="s">
        <v>63</v>
      </c>
      <c r="C9" s="70">
        <f>VLOOKUP(B9,[3]AKSoftSalesReport!$B$2:$C$87,2,0)</f>
        <v>2431244.0799999936</v>
      </c>
      <c r="D9" s="7">
        <f t="shared" si="18"/>
        <v>7.4879342262349491E-2</v>
      </c>
      <c r="E9" s="85">
        <f t="shared" si="1"/>
        <v>2965970.7470116634</v>
      </c>
      <c r="F9" s="70">
        <f>VLOOKUP(B9,[4]AKSoftSalesReport!$B$2:$C$87,2,0)</f>
        <v>2312804</v>
      </c>
      <c r="G9" s="7">
        <f t="shared" si="19"/>
        <v>7.123153274751888E-2</v>
      </c>
      <c r="H9" s="85">
        <f t="shared" si="2"/>
        <v>2821481.012129223</v>
      </c>
      <c r="I9" s="70">
        <f>VLOOKUP(B9,[5]AKSoftSalesReport!$B$2:$C$87,2,0)</f>
        <v>1595333</v>
      </c>
      <c r="J9" s="7">
        <f t="shared" si="20"/>
        <v>4.9134304001851231E-2</v>
      </c>
      <c r="K9" s="85">
        <f t="shared" si="3"/>
        <v>1946209.7815133273</v>
      </c>
      <c r="L9" s="6">
        <f>VLOOKUP(B9,[6]AKSoftSalesReport!$B$2:$C$87,2,0)</f>
        <v>2582310.02</v>
      </c>
      <c r="M9" s="7">
        <f t="shared" si="21"/>
        <v>7.9531988337047207E-2</v>
      </c>
      <c r="N9" s="85">
        <f t="shared" si="4"/>
        <v>3150262.05803044</v>
      </c>
      <c r="O9" s="6">
        <f>VLOOKUP(B9,[7]AKSoftSalesReport!$B$2:$C$89,2,0)</f>
        <v>3034206.01</v>
      </c>
      <c r="P9" s="7">
        <f t="shared" si="22"/>
        <v>9.3449831790343496E-2</v>
      </c>
      <c r="Q9" s="85">
        <f t="shared" si="5"/>
        <v>3701547.837215506</v>
      </c>
      <c r="R9" s="6">
        <f>VLOOKUP(B9,[8]AKSoftSalesReport!$B$2:$C$93,2,0)</f>
        <v>2645045</v>
      </c>
      <c r="S9" s="7">
        <f t="shared" si="23"/>
        <v>8.1464148944813783E-2</v>
      </c>
      <c r="T9" s="85">
        <f t="shared" si="6"/>
        <v>3226794.9397040741</v>
      </c>
      <c r="U9" s="71">
        <f>VLOOKUP(B9,[9]AKSoftSalesReport!$B$2:$C$94,2,0)</f>
        <v>2897728.08</v>
      </c>
      <c r="V9" s="7">
        <f t="shared" si="24"/>
        <v>8.9246478570568458E-2</v>
      </c>
      <c r="W9" s="85">
        <f t="shared" si="7"/>
        <v>3535053.0161802168</v>
      </c>
      <c r="X9" s="71">
        <f>VLOOKUP(B9,[10]AKSoftSalesReport!$B$2:$C$94,2,0)</f>
        <v>2943315.3199999705</v>
      </c>
      <c r="Y9" s="7">
        <f t="shared" si="25"/>
        <v>9.0650509772056742E-2</v>
      </c>
      <c r="Z9" s="85">
        <f t="shared" si="8"/>
        <v>3590666.6920711678</v>
      </c>
      <c r="AA9" s="71">
        <f>VLOOKUP(B9,[11]AKSoftSalesReport!$B$2:$C$94,2,0)</f>
        <v>3121530</v>
      </c>
      <c r="AB9" s="7">
        <f t="shared" si="26"/>
        <v>9.6139303813623039E-2</v>
      </c>
      <c r="AC9" s="85">
        <f t="shared" si="9"/>
        <v>3808077.8240576084</v>
      </c>
      <c r="AD9" s="51">
        <f>VLOOKUP(B9,[12]AKSoftSalesReport!$B$2:$C$89,2,0)</f>
        <v>3022173.7999999928</v>
      </c>
      <c r="AE9" s="7">
        <f t="shared" si="27"/>
        <v>9.3079254447585302E-2</v>
      </c>
      <c r="AF9" s="85">
        <f t="shared" si="10"/>
        <v>3686869.2686688537</v>
      </c>
      <c r="AG9" s="154">
        <f>VLOOKUP(B9,[13]AKSoftSalesReport!$B$2:$C$90,2,0)</f>
        <v>2837091</v>
      </c>
      <c r="AH9" s="7">
        <f t="shared" si="28"/>
        <v>8.7378930715352923E-2</v>
      </c>
      <c r="AI9" s="85">
        <f t="shared" si="11"/>
        <v>3461079.4456351292</v>
      </c>
      <c r="AJ9" s="104">
        <f>VLOOKUP(B9,[14]AKSoftSalesReport!$A:$D,4,0)</f>
        <v>3046042.2857142854</v>
      </c>
      <c r="AK9" s="7">
        <f t="shared" si="29"/>
        <v>9.3814374596889488E-2</v>
      </c>
      <c r="AL9" s="85">
        <f t="shared" si="12"/>
        <v>3715987.3777827928</v>
      </c>
      <c r="AM9" s="6">
        <f t="shared" si="13"/>
        <v>32468822.595714241</v>
      </c>
      <c r="AN9" s="6"/>
      <c r="AO9" s="104">
        <v>32468822.595714241</v>
      </c>
      <c r="AP9" s="87">
        <f t="shared" si="30"/>
        <v>39611963.566771373</v>
      </c>
      <c r="AQ9" s="237">
        <v>0.22</v>
      </c>
      <c r="AR9" s="1">
        <v>39610000</v>
      </c>
      <c r="AS9" s="240">
        <f t="shared" si="31"/>
        <v>39610000.000000007</v>
      </c>
      <c r="AT9" s="31">
        <f t="shared" si="0"/>
        <v>0</v>
      </c>
      <c r="AV9" s="253">
        <f>VLOOKUP(B9,[17]AKSoftSalesReport!$A:$B,2,0)</f>
        <v>845240</v>
      </c>
      <c r="AW9" s="28">
        <f t="shared" si="14"/>
        <v>1467564</v>
      </c>
      <c r="AX9" s="28">
        <f>VLOOKUP(B9,[18]AKSoftSalesReport!$A:$B,2,0)</f>
        <v>458684</v>
      </c>
      <c r="AY9" s="79">
        <f t="shared" si="15"/>
        <v>1926248</v>
      </c>
      <c r="AZ9" s="28">
        <v>458684</v>
      </c>
      <c r="BA9" s="28">
        <f t="shared" si="16"/>
        <v>1136649</v>
      </c>
      <c r="BB9" s="28">
        <f>VLOOKUP(B9,[19]AKSoftSalesReport!$A:$B,2,0)</f>
        <v>803261</v>
      </c>
      <c r="BC9" s="28">
        <f t="shared" si="17"/>
        <v>1939910</v>
      </c>
    </row>
    <row r="10" spans="1:55" x14ac:dyDescent="0.3">
      <c r="A10" s="239">
        <v>7</v>
      </c>
      <c r="B10" s="102" t="s">
        <v>226</v>
      </c>
      <c r="C10" s="70">
        <f>VLOOKUP(B10,[3]AKSoftSalesReport!$B$2:$C$87,2,0)</f>
        <v>1319770</v>
      </c>
      <c r="D10" s="7">
        <f t="shared" si="18"/>
        <v>5.0098868902153947E-2</v>
      </c>
      <c r="E10" s="85">
        <f t="shared" si="1"/>
        <v>1781515.7781605944</v>
      </c>
      <c r="F10" s="70">
        <f>VLOOKUP(B10,[4]AKSoftSalesReport!$B$2:$C$87,2,0)</f>
        <v>1606298</v>
      </c>
      <c r="G10" s="7">
        <f t="shared" si="19"/>
        <v>6.0975558559288427E-2</v>
      </c>
      <c r="H10" s="85">
        <f t="shared" si="2"/>
        <v>2168290.8623682964</v>
      </c>
      <c r="I10" s="70">
        <f>VLOOKUP(B10,[5]AKSoftSalesReport!$B$2:$C$87,2,0)</f>
        <v>1116977</v>
      </c>
      <c r="J10" s="7">
        <f t="shared" si="20"/>
        <v>4.2400785204786601E-2</v>
      </c>
      <c r="K10" s="85">
        <f t="shared" si="3"/>
        <v>1507771.9218822115</v>
      </c>
      <c r="L10" s="6">
        <f>VLOOKUP(B10,[6]AKSoftSalesReport!$B$2:$C$87,2,0)</f>
        <v>2048509.3</v>
      </c>
      <c r="M10" s="7">
        <f t="shared" si="21"/>
        <v>7.776203343426745E-2</v>
      </c>
      <c r="N10" s="85">
        <f t="shared" si="4"/>
        <v>2765217.9089225507</v>
      </c>
      <c r="O10" s="6">
        <f>VLOOKUP(B10,[7]AKSoftSalesReport!$B$2:$C$89,2,0)</f>
        <v>2217244.12</v>
      </c>
      <c r="P10" s="7">
        <f t="shared" si="22"/>
        <v>8.4167258304061854E-2</v>
      </c>
      <c r="Q10" s="85">
        <f t="shared" si="5"/>
        <v>2992987.7052924396</v>
      </c>
      <c r="R10" s="6">
        <f>VLOOKUP(B10,[8]AKSoftSalesReport!$B$2:$C$93,2,0)</f>
        <v>2223387</v>
      </c>
      <c r="S10" s="7">
        <f t="shared" si="23"/>
        <v>8.4400443889278712E-2</v>
      </c>
      <c r="T10" s="85">
        <f t="shared" si="6"/>
        <v>3001279.7847027509</v>
      </c>
      <c r="U10" s="71">
        <f>VLOOKUP(B10,[9]AKSoftSalesReport!$B$2:$C$94,2,0)</f>
        <v>2503631</v>
      </c>
      <c r="V10" s="7">
        <f t="shared" si="24"/>
        <v>9.5038591003257081E-2</v>
      </c>
      <c r="W10" s="85">
        <f t="shared" si="7"/>
        <v>3379572.2960758219</v>
      </c>
      <c r="X10" s="71">
        <f>VLOOKUP(B10,[10]AKSoftSalesReport!$B$2:$C$94,2,0)</f>
        <v>2686709.77999999</v>
      </c>
      <c r="Y10" s="7">
        <f t="shared" si="25"/>
        <v>0.101988316938826</v>
      </c>
      <c r="Z10" s="85">
        <f t="shared" si="8"/>
        <v>3626704.5503446525</v>
      </c>
      <c r="AA10" s="71">
        <f>VLOOKUP(B10,[11]AKSoftSalesReport!$B$2:$C$94,2,0)</f>
        <v>2643132</v>
      </c>
      <c r="AB10" s="7">
        <f t="shared" si="26"/>
        <v>0.10033409121217179</v>
      </c>
      <c r="AC10" s="85">
        <f t="shared" si="9"/>
        <v>3567880.2835048288</v>
      </c>
      <c r="AD10" s="51">
        <f>VLOOKUP(B10,[12]AKSoftSalesReport!$B$2:$C$89,2,0)</f>
        <v>2742692.09</v>
      </c>
      <c r="AE10" s="7">
        <f t="shared" si="27"/>
        <v>0.10411342238108505</v>
      </c>
      <c r="AF10" s="85">
        <f t="shared" si="10"/>
        <v>3702273.2998713842</v>
      </c>
      <c r="AG10" s="154">
        <f>VLOOKUP(B10,[13]AKSoftSalesReport!$B$2:$C$90,2,0)</f>
        <v>2557652</v>
      </c>
      <c r="AH10" s="7">
        <f t="shared" si="28"/>
        <v>9.7089244523918455E-2</v>
      </c>
      <c r="AI10" s="85">
        <f t="shared" si="11"/>
        <v>3452493.53527054</v>
      </c>
      <c r="AJ10" s="104">
        <f>VLOOKUP(B10,[14]AKSoftSalesReport!$A:$D,4,0)</f>
        <v>2677307.0285714287</v>
      </c>
      <c r="AK10" s="7">
        <f t="shared" si="29"/>
        <v>0.10163138564690465</v>
      </c>
      <c r="AL10" s="85">
        <f t="shared" si="12"/>
        <v>3614012.073603929</v>
      </c>
      <c r="AM10" s="6">
        <f t="shared" si="13"/>
        <v>26343309.318571419</v>
      </c>
      <c r="AN10" s="6"/>
      <c r="AO10" s="101">
        <v>26343309.318571419</v>
      </c>
      <c r="AP10" s="87">
        <f t="shared" si="30"/>
        <v>35563467.580071412</v>
      </c>
      <c r="AQ10" s="237">
        <v>0.35</v>
      </c>
      <c r="AR10" s="1">
        <v>35560000</v>
      </c>
      <c r="AS10" s="240">
        <f t="shared" si="31"/>
        <v>35560000</v>
      </c>
      <c r="AT10" s="31">
        <f t="shared" si="0"/>
        <v>0</v>
      </c>
      <c r="AV10" s="253">
        <f>VLOOKUP(B10,[17]AKSoftSalesReport!$A:$B,2,0)</f>
        <v>615405</v>
      </c>
      <c r="AW10" s="28">
        <f t="shared" si="14"/>
        <v>990893</v>
      </c>
      <c r="AX10" s="28">
        <f>VLOOKUP(B10,[18]AKSoftSalesReport!$A:$B,2,0)</f>
        <v>291844</v>
      </c>
      <c r="AY10" s="79">
        <f t="shared" si="15"/>
        <v>1282737</v>
      </c>
      <c r="AZ10" s="28">
        <v>291844</v>
      </c>
      <c r="BA10" s="28">
        <f t="shared" si="16"/>
        <v>825133</v>
      </c>
      <c r="BB10" s="28">
        <f>VLOOKUP(B10,[19]AKSoftSalesReport!$A:$B,2,0)</f>
        <v>635536</v>
      </c>
      <c r="BC10" s="28">
        <f t="shared" si="17"/>
        <v>1460669</v>
      </c>
    </row>
    <row r="11" spans="1:55" x14ac:dyDescent="0.3">
      <c r="A11" s="61">
        <v>8</v>
      </c>
      <c r="B11" s="106" t="s">
        <v>229</v>
      </c>
      <c r="C11" s="70">
        <v>0</v>
      </c>
      <c r="D11" s="7">
        <f t="shared" si="18"/>
        <v>0</v>
      </c>
      <c r="E11" s="85">
        <f t="shared" si="1"/>
        <v>0</v>
      </c>
      <c r="F11" s="70">
        <v>0</v>
      </c>
      <c r="G11" s="7">
        <f t="shared" si="19"/>
        <v>0</v>
      </c>
      <c r="H11" s="85">
        <f t="shared" si="2"/>
        <v>0</v>
      </c>
      <c r="I11" s="70">
        <v>0</v>
      </c>
      <c r="J11" s="7">
        <f t="shared" si="20"/>
        <v>0</v>
      </c>
      <c r="K11" s="85">
        <f t="shared" si="3"/>
        <v>0</v>
      </c>
      <c r="L11" s="6">
        <v>0</v>
      </c>
      <c r="M11" s="7">
        <f t="shared" si="21"/>
        <v>0</v>
      </c>
      <c r="N11" s="85">
        <f t="shared" si="4"/>
        <v>0</v>
      </c>
      <c r="O11" s="6">
        <v>0</v>
      </c>
      <c r="P11" s="7">
        <f t="shared" si="22"/>
        <v>0</v>
      </c>
      <c r="Q11" s="85">
        <f t="shared" si="5"/>
        <v>0</v>
      </c>
      <c r="R11" s="6">
        <v>0</v>
      </c>
      <c r="S11" s="7">
        <f t="shared" si="23"/>
        <v>0</v>
      </c>
      <c r="T11" s="85">
        <f t="shared" si="6"/>
        <v>0</v>
      </c>
      <c r="U11" s="71">
        <f>VLOOKUP(B11,[9]AKSoftSalesReport!$B$2:$C$94,2,0)</f>
        <v>113312</v>
      </c>
      <c r="V11" s="7">
        <f t="shared" si="24"/>
        <v>1.2876363636363637E-2</v>
      </c>
      <c r="W11" s="85">
        <f t="shared" si="7"/>
        <v>152971.20000000001</v>
      </c>
      <c r="X11" s="71">
        <f>VLOOKUP(B11,[10]AKSoftSalesReport!$B$2:$C$94,2,0)</f>
        <v>699084</v>
      </c>
      <c r="Y11" s="7">
        <f t="shared" si="25"/>
        <v>7.9441363636363643E-2</v>
      </c>
      <c r="Z11" s="85">
        <f t="shared" si="8"/>
        <v>943763.40000000014</v>
      </c>
      <c r="AA11" s="71">
        <f>VLOOKUP(B11,[11]AKSoftSalesReport!$B$2:$C$94,2,0)</f>
        <v>779351</v>
      </c>
      <c r="AB11" s="7">
        <f t="shared" si="26"/>
        <v>8.8562613636363641E-2</v>
      </c>
      <c r="AC11" s="85">
        <f t="shared" si="9"/>
        <v>1052123.8500000001</v>
      </c>
      <c r="AD11" s="51">
        <f>VLOOKUP(B11,[12]AKSoftSalesReport!$B$2:$C$89,2,0)</f>
        <v>785299.2</v>
      </c>
      <c r="AE11" s="7">
        <f t="shared" si="27"/>
        <v>8.9238545454545445E-2</v>
      </c>
      <c r="AF11" s="85">
        <f t="shared" si="10"/>
        <v>1060153.92</v>
      </c>
      <c r="AG11" s="154">
        <f>VLOOKUP(B11,[13]AKSoftSalesReport!$B$2:$C$90,2,0)</f>
        <v>732208</v>
      </c>
      <c r="AH11" s="7">
        <f t="shared" si="28"/>
        <v>8.3205454545454541E-2</v>
      </c>
      <c r="AI11" s="85">
        <f t="shared" si="11"/>
        <v>988480.79999999993</v>
      </c>
      <c r="AJ11" s="104">
        <f>VLOOKUP(B11,[14]AKSoftSalesReport!$A:$D,4,0)</f>
        <v>812240.16714285722</v>
      </c>
      <c r="AK11" s="7">
        <f t="shared" si="29"/>
        <v>9.2300018993506497E-2</v>
      </c>
      <c r="AL11" s="85">
        <f t="shared" si="12"/>
        <v>1096524.2256428571</v>
      </c>
      <c r="AM11" s="6">
        <f t="shared" si="13"/>
        <v>3921494.3671428571</v>
      </c>
      <c r="AN11" s="6">
        <f>AM11/158</f>
        <v>24819.58460216998</v>
      </c>
      <c r="AO11" s="101">
        <v>8800000</v>
      </c>
      <c r="AP11" s="87">
        <f t="shared" si="30"/>
        <v>11880000</v>
      </c>
      <c r="AQ11" s="237">
        <v>0.35</v>
      </c>
      <c r="AR11" s="1">
        <v>11880000</v>
      </c>
      <c r="AS11" s="240">
        <f t="shared" si="31"/>
        <v>5294017.3956428571</v>
      </c>
      <c r="AT11" s="31">
        <f t="shared" si="0"/>
        <v>-6585982.6043571429</v>
      </c>
      <c r="AV11" s="253">
        <v>0</v>
      </c>
      <c r="AW11" s="28">
        <f t="shared" si="14"/>
        <v>0</v>
      </c>
      <c r="AX11" s="28">
        <v>0</v>
      </c>
      <c r="AY11" s="79">
        <f t="shared" si="15"/>
        <v>0</v>
      </c>
      <c r="AZ11" s="28">
        <v>0</v>
      </c>
      <c r="BA11" s="28">
        <f t="shared" si="16"/>
        <v>0</v>
      </c>
      <c r="BB11" s="28">
        <v>0</v>
      </c>
      <c r="BC11" s="28">
        <f t="shared" si="17"/>
        <v>0</v>
      </c>
    </row>
    <row r="12" spans="1:55" x14ac:dyDescent="0.3">
      <c r="A12" s="239">
        <v>9</v>
      </c>
      <c r="B12" s="89" t="s">
        <v>4</v>
      </c>
      <c r="C12" s="70">
        <f>VLOOKUP(B12,[3]AKSoftSalesReport!$B$2:$C$87,2,0)</f>
        <v>1437334.0000000005</v>
      </c>
      <c r="D12" s="7">
        <f t="shared" si="18"/>
        <v>6.9566942773177987E-2</v>
      </c>
      <c r="E12" s="85">
        <f t="shared" si="1"/>
        <v>1724564.5113470822</v>
      </c>
      <c r="F12" s="70">
        <f>VLOOKUP(B12,[4]AKSoftSalesReport!$B$2:$C$87,2,0)</f>
        <v>1498863</v>
      </c>
      <c r="G12" s="7">
        <f t="shared" si="19"/>
        <v>7.2544945396013624E-2</v>
      </c>
      <c r="H12" s="85">
        <f t="shared" si="2"/>
        <v>1798389.1963671776</v>
      </c>
      <c r="I12" s="70">
        <f>VLOOKUP(B12,[5]AKSoftSalesReport!$B$2:$C$87,2,0)</f>
        <v>1046590.5</v>
      </c>
      <c r="J12" s="7">
        <f t="shared" si="20"/>
        <v>5.0654963578717058E-2</v>
      </c>
      <c r="K12" s="85">
        <f t="shared" si="3"/>
        <v>1255736.5471163958</v>
      </c>
      <c r="L12" s="6">
        <f>VLOOKUP(B12,[6]AKSoftSalesReport!$B$2:$C$87,2,0)</f>
        <v>1499000.2</v>
      </c>
      <c r="M12" s="7">
        <f t="shared" si="21"/>
        <v>7.2551585873834687E-2</v>
      </c>
      <c r="N12" s="85">
        <f t="shared" si="4"/>
        <v>1798553.8138123618</v>
      </c>
      <c r="O12" s="6">
        <f>VLOOKUP(B12,[7]AKSoftSalesReport!$B$2:$C$89,2,0)</f>
        <v>1840743</v>
      </c>
      <c r="P12" s="7">
        <f t="shared" si="22"/>
        <v>8.9091931966493468E-2</v>
      </c>
      <c r="Q12" s="85">
        <f t="shared" si="5"/>
        <v>2208588.9934493732</v>
      </c>
      <c r="R12" s="6">
        <f>VLOOKUP(B12,[8]AKSoftSalesReport!$B$2:$C$93,2,0)</f>
        <v>1706110.33</v>
      </c>
      <c r="S12" s="7">
        <f t="shared" si="23"/>
        <v>8.2575712876643684E-2</v>
      </c>
      <c r="T12" s="85">
        <f t="shared" si="6"/>
        <v>2047051.922211997</v>
      </c>
      <c r="U12" s="71">
        <f>VLOOKUP(B12,[9]AKSoftSalesReport!$B$2:$C$94,2,0)</f>
        <v>1797603.67</v>
      </c>
      <c r="V12" s="7">
        <f t="shared" si="24"/>
        <v>8.7003989079604785E-2</v>
      </c>
      <c r="W12" s="85">
        <f t="shared" si="7"/>
        <v>2156828.8892834028</v>
      </c>
      <c r="X12" s="71">
        <f>VLOOKUP(B12,[10]AKSoftSalesReport!$B$2:$C$94,2,0)</f>
        <v>1841221.11</v>
      </c>
      <c r="Y12" s="7">
        <f t="shared" si="25"/>
        <v>8.9115072482900431E-2</v>
      </c>
      <c r="Z12" s="85">
        <f t="shared" si="8"/>
        <v>2209162.6468511019</v>
      </c>
      <c r="AA12" s="71">
        <f>VLOOKUP(B12,[11]AKSoftSalesReport!$B$2:$C$94,2,0)</f>
        <v>1900839.1300000011</v>
      </c>
      <c r="AB12" s="7">
        <f t="shared" si="26"/>
        <v>9.2000583704085107E-2</v>
      </c>
      <c r="AC12" s="85">
        <f t="shared" si="9"/>
        <v>2280694.47002427</v>
      </c>
      <c r="AD12" s="51">
        <f>VLOOKUP(B12,[12]AKSoftSalesReport!$B$2:$C$89,2,0)</f>
        <v>2225299.1500000004</v>
      </c>
      <c r="AE12" s="7">
        <f t="shared" si="27"/>
        <v>0.10770444351921793</v>
      </c>
      <c r="AF12" s="85">
        <f t="shared" si="10"/>
        <v>2669993.1548414123</v>
      </c>
      <c r="AG12" s="154">
        <f>VLOOKUP(B12,[13]AKSoftSalesReport!$B$2:$C$90,2,0)</f>
        <v>1936676</v>
      </c>
      <c r="AH12" s="7">
        <f t="shared" si="28"/>
        <v>9.3735087642946732E-2</v>
      </c>
      <c r="AI12" s="85">
        <f t="shared" si="11"/>
        <v>2323692.8226686497</v>
      </c>
      <c r="AJ12" s="104">
        <f>VLOOKUP(B12,[14]AKSoftSalesReport!$A:$D,4,0)</f>
        <v>1930883.7142857143</v>
      </c>
      <c r="AK12" s="7">
        <f t="shared" si="29"/>
        <v>9.3454741106364689E-2</v>
      </c>
      <c r="AL12" s="85">
        <f t="shared" si="12"/>
        <v>2316743.0320267808</v>
      </c>
      <c r="AM12" s="6">
        <f t="shared" si="13"/>
        <v>20661163.804285713</v>
      </c>
      <c r="AN12" s="6"/>
      <c r="AO12" s="104">
        <v>20661163.804285713</v>
      </c>
      <c r="AP12" s="87">
        <f t="shared" si="30"/>
        <v>24793396.565142855</v>
      </c>
      <c r="AQ12" s="237">
        <v>0.2</v>
      </c>
      <c r="AR12" s="25">
        <v>24790000</v>
      </c>
      <c r="AS12" s="240">
        <f t="shared" si="31"/>
        <v>24790000.000000007</v>
      </c>
      <c r="AT12" s="31">
        <f t="shared" si="0"/>
        <v>0</v>
      </c>
      <c r="AV12" s="253">
        <f>VLOOKUP(B12,[17]AKSoftSalesReport!$A:$B,2,0)</f>
        <v>574818</v>
      </c>
      <c r="AW12" s="28">
        <f t="shared" si="14"/>
        <v>924045</v>
      </c>
      <c r="AX12" s="28">
        <f>VLOOKUP(B12,[18]AKSoftSalesReport!$A:$B,2,0)</f>
        <v>288665.5</v>
      </c>
      <c r="AY12" s="79">
        <f t="shared" si="15"/>
        <v>1212710.5</v>
      </c>
      <c r="AZ12" s="28">
        <v>288665.5</v>
      </c>
      <c r="BA12" s="28">
        <f t="shared" si="16"/>
        <v>757925</v>
      </c>
      <c r="BB12" s="28">
        <f>VLOOKUP(B12,[19]AKSoftSalesReport!$A:$B,2,0)</f>
        <v>498431</v>
      </c>
      <c r="BC12" s="28">
        <f t="shared" si="17"/>
        <v>1256356</v>
      </c>
    </row>
    <row r="13" spans="1:55" x14ac:dyDescent="0.3">
      <c r="A13" s="61">
        <v>10</v>
      </c>
      <c r="B13" s="90" t="s">
        <v>69</v>
      </c>
      <c r="C13" s="70">
        <f>VLOOKUP(B13,[3]AKSoftSalesReport!$B$2:$C$87,2,0)</f>
        <v>1895646.6200000006</v>
      </c>
      <c r="D13" s="7">
        <f t="shared" si="18"/>
        <v>6.9440830907346013E-2</v>
      </c>
      <c r="E13" s="85">
        <f t="shared" si="1"/>
        <v>2274534.4163701185</v>
      </c>
      <c r="F13" s="70">
        <f>VLOOKUP(B13,[4]AKSoftSalesReport!$B$2:$C$87,2,0)</f>
        <v>2021230</v>
      </c>
      <c r="G13" s="7">
        <f t="shared" si="19"/>
        <v>7.4041168419277922E-2</v>
      </c>
      <c r="H13" s="85">
        <f t="shared" si="2"/>
        <v>2425218.4715734483</v>
      </c>
      <c r="I13" s="70">
        <f>VLOOKUP(B13,[5]AKSoftSalesReport!$B$2:$C$87,2,0)</f>
        <v>1247545</v>
      </c>
      <c r="J13" s="7">
        <f t="shared" si="20"/>
        <v>4.5699741966836072E-2</v>
      </c>
      <c r="K13" s="85">
        <f t="shared" si="3"/>
        <v>1496895.0481237154</v>
      </c>
      <c r="L13" s="6">
        <f>VLOOKUP(B13,[6]AKSoftSalesReport!$B$2:$C$87,2,0)</f>
        <v>2106256.830000001</v>
      </c>
      <c r="M13" s="7">
        <f t="shared" si="21"/>
        <v>7.715584900495466E-2</v>
      </c>
      <c r="N13" s="85">
        <f t="shared" si="4"/>
        <v>2527239.8341572899</v>
      </c>
      <c r="O13" s="6">
        <f>VLOOKUP(B13,[7]AKSoftSalesReport!$B$2:$C$89,2,0)</f>
        <v>2413752.2799999998</v>
      </c>
      <c r="P13" s="7">
        <f t="shared" si="22"/>
        <v>8.8419941860103032E-2</v>
      </c>
      <c r="Q13" s="85">
        <f t="shared" si="5"/>
        <v>2896195.1956276749</v>
      </c>
      <c r="R13" s="6">
        <f>VLOOKUP(B13,[8]AKSoftSalesReport!$B$2:$C$93,2,0)</f>
        <v>2404494.46</v>
      </c>
      <c r="S13" s="7">
        <f t="shared" si="23"/>
        <v>8.8080811820565055E-2</v>
      </c>
      <c r="T13" s="85">
        <f t="shared" si="6"/>
        <v>2885086.9911826085</v>
      </c>
      <c r="U13" s="71">
        <f>VLOOKUP(B13,[9]AKSoftSalesReport!$B$2:$C$94,2,0)</f>
        <v>2629170</v>
      </c>
      <c r="V13" s="7">
        <f t="shared" si="24"/>
        <v>9.6311067405942391E-2</v>
      </c>
      <c r="W13" s="85">
        <f t="shared" si="7"/>
        <v>3154669.0128816431</v>
      </c>
      <c r="X13" s="71">
        <f>VLOOKUP(B13,[10]AKSoftSalesReport!$B$2:$C$94,2,0)</f>
        <v>2748037.1199999684</v>
      </c>
      <c r="Y13" s="7">
        <f t="shared" si="25"/>
        <v>0.100665376639148</v>
      </c>
      <c r="Z13" s="85">
        <f t="shared" si="8"/>
        <v>3297294.4118152927</v>
      </c>
      <c r="AA13" s="71">
        <f>VLOOKUP(B13,[11]AKSoftSalesReport!$B$2:$C$94,2,0)</f>
        <v>2517594.0199999996</v>
      </c>
      <c r="AB13" s="7">
        <f t="shared" si="26"/>
        <v>9.2223845305178978E-2</v>
      </c>
      <c r="AC13" s="85">
        <f t="shared" si="9"/>
        <v>3020792.0529711372</v>
      </c>
      <c r="AD13" s="51">
        <f>VLOOKUP(B13,[12]AKSoftSalesReport!$B$2:$C$89,2,0)</f>
        <v>2698669.2</v>
      </c>
      <c r="AE13" s="7">
        <f t="shared" si="27"/>
        <v>9.8856943912923337E-2</v>
      </c>
      <c r="AF13" s="85">
        <f t="shared" si="10"/>
        <v>3238059.1978678037</v>
      </c>
      <c r="AG13" s="154">
        <f>VLOOKUP(B13,[13]AKSoftSalesReport!$B$2:$C$90,2,0)</f>
        <v>2243242</v>
      </c>
      <c r="AH13" s="7">
        <f t="shared" si="28"/>
        <v>8.2173853904403682E-2</v>
      </c>
      <c r="AI13" s="85">
        <f t="shared" si="11"/>
        <v>2691604.5846387427</v>
      </c>
      <c r="AJ13" s="104">
        <f>VLOOKUP(B13,[14]AKSoftSalesReport!$A:$D,4,0)</f>
        <v>2373094.2857142854</v>
      </c>
      <c r="AK13" s="7">
        <f t="shared" si="29"/>
        <v>8.6930568853320719E-2</v>
      </c>
      <c r="AL13" s="85">
        <f t="shared" si="12"/>
        <v>2847410.7827905202</v>
      </c>
      <c r="AM13" s="6">
        <f t="shared" si="13"/>
        <v>27298731.815714259</v>
      </c>
      <c r="AN13" s="6"/>
      <c r="AO13" s="73">
        <v>27298731.815714259</v>
      </c>
      <c r="AP13" s="87">
        <f t="shared" si="30"/>
        <v>32758478.17885711</v>
      </c>
      <c r="AQ13" s="237">
        <v>0.2</v>
      </c>
      <c r="AR13" s="25">
        <v>32755000</v>
      </c>
      <c r="AS13" s="240">
        <f t="shared" si="31"/>
        <v>32754999.999999993</v>
      </c>
      <c r="AT13" s="31">
        <f t="shared" si="0"/>
        <v>0</v>
      </c>
      <c r="AV13" s="253">
        <f>VLOOKUP(B13,[17]AKSoftSalesReport!$A:$B,2,0)</f>
        <v>742161</v>
      </c>
      <c r="AW13" s="28">
        <f t="shared" si="14"/>
        <v>1279069</v>
      </c>
      <c r="AX13" s="28">
        <f>VLOOKUP(B13,[18]AKSoftSalesReport!$A:$B,2,0)</f>
        <v>347911</v>
      </c>
      <c r="AY13" s="79">
        <f t="shared" si="15"/>
        <v>1626980</v>
      </c>
      <c r="AZ13" s="28">
        <v>347911</v>
      </c>
      <c r="BA13" s="28">
        <f t="shared" si="16"/>
        <v>899634</v>
      </c>
      <c r="BB13" s="28">
        <f>VLOOKUP(B13,[19]AKSoftSalesReport!$A:$B,2,0)</f>
        <v>699421</v>
      </c>
      <c r="BC13" s="28">
        <f t="shared" si="17"/>
        <v>1599055</v>
      </c>
    </row>
    <row r="14" spans="1:55" x14ac:dyDescent="0.3">
      <c r="A14" s="239">
        <v>11</v>
      </c>
      <c r="B14" s="89" t="s">
        <v>148</v>
      </c>
      <c r="C14" s="70">
        <f>VLOOKUP(B14,[3]AKSoftSalesReport!$B$2:$C$87,2,0)</f>
        <v>637813.01</v>
      </c>
      <c r="D14" s="7">
        <f>C14/AO14</f>
        <v>4.7045747261281301E-2</v>
      </c>
      <c r="E14" s="85">
        <f t="shared" si="1"/>
        <v>733443.19980337552</v>
      </c>
      <c r="F14" s="70">
        <f>VLOOKUP(B14,[4]AKSoftSalesReport!$B$2:$C$87,2,0)</f>
        <v>707658.5</v>
      </c>
      <c r="G14" s="7">
        <f t="shared" si="19"/>
        <v>5.2197622839799764E-2</v>
      </c>
      <c r="H14" s="85">
        <f t="shared" si="2"/>
        <v>813760.94007247826</v>
      </c>
      <c r="I14" s="70">
        <f>VLOOKUP(B14,[5]AKSoftSalesReport!$B$2:$C$87,2,0)</f>
        <v>493035.45999999996</v>
      </c>
      <c r="J14" s="7">
        <f t="shared" si="20"/>
        <v>3.6366805440374392E-2</v>
      </c>
      <c r="K14" s="85">
        <f t="shared" si="3"/>
        <v>566958.49681543675</v>
      </c>
      <c r="L14" s="6">
        <f>VLOOKUP(B14,[6]AKSoftSalesReport!$B$2:$C$87,2,0)</f>
        <v>638179</v>
      </c>
      <c r="M14" s="7">
        <f t="shared" si="21"/>
        <v>4.7072743062198184E-2</v>
      </c>
      <c r="N14" s="85">
        <f t="shared" si="4"/>
        <v>733864.06433966965</v>
      </c>
      <c r="O14" s="6">
        <f>VLOOKUP(B14,[7]AKSoftSalesReport!$B$2:$C$89,2,0)</f>
        <v>1129874</v>
      </c>
      <c r="P14" s="7">
        <f t="shared" si="22"/>
        <v>8.3340674786632138E-2</v>
      </c>
      <c r="Q14" s="85">
        <f t="shared" si="5"/>
        <v>1299281.1199235951</v>
      </c>
      <c r="R14" s="6">
        <f>VLOOKUP(B14,[8]AKSoftSalesReport!$B$2:$C$93,2,0)</f>
        <v>1052874</v>
      </c>
      <c r="S14" s="7">
        <f t="shared" si="23"/>
        <v>7.7661075151123513E-2</v>
      </c>
      <c r="T14" s="85">
        <f t="shared" si="6"/>
        <v>1210736.1616060156</v>
      </c>
      <c r="U14" s="71">
        <f>VLOOKUP(B14,[9]AKSoftSalesReport!$B$2:$C$94,2,0)</f>
        <v>1202895</v>
      </c>
      <c r="V14" s="7">
        <f t="shared" si="24"/>
        <v>8.8726779266949996E-2</v>
      </c>
      <c r="W14" s="85">
        <f t="shared" si="7"/>
        <v>1383250.4887717504</v>
      </c>
      <c r="X14" s="71">
        <f>VLOOKUP(B14,[10]AKSoftSalesReport!$B$2:$C$94,2,0)</f>
        <v>1626450</v>
      </c>
      <c r="Y14" s="7">
        <f t="shared" si="25"/>
        <v>0.11996863411912995</v>
      </c>
      <c r="Z14" s="85">
        <f t="shared" si="8"/>
        <v>1870311.005917236</v>
      </c>
      <c r="AA14" s="71">
        <f>VLOOKUP(B14,[11]AKSoftSalesReport!$B$2:$C$94,2,0)</f>
        <v>1634680.01</v>
      </c>
      <c r="AB14" s="7">
        <f t="shared" si="26"/>
        <v>0.12057568816843167</v>
      </c>
      <c r="AC14" s="85">
        <f t="shared" si="9"/>
        <v>1879774.9785458497</v>
      </c>
      <c r="AD14" s="51">
        <f>VLOOKUP(B14,[12]AKSoftSalesReport!$B$2:$C$89,2,0)</f>
        <v>1641487</v>
      </c>
      <c r="AE14" s="7">
        <f t="shared" si="27"/>
        <v>0.12107777879080714</v>
      </c>
      <c r="AF14" s="85">
        <f t="shared" si="10"/>
        <v>1887602.5713486832</v>
      </c>
      <c r="AG14" s="154">
        <f>VLOOKUP(B14,[13]AKSoftSalesReport!$B$2:$C$90,2,0)</f>
        <v>1293340</v>
      </c>
      <c r="AH14" s="7">
        <f t="shared" si="28"/>
        <v>9.5398096007645816E-2</v>
      </c>
      <c r="AI14" s="85">
        <f t="shared" si="11"/>
        <v>1487256.3167591982</v>
      </c>
      <c r="AJ14" s="104">
        <f>VLOOKUP(B14,[14]AKSoftSalesReport!$A:$D,4,0)</f>
        <v>1499007.6571428573</v>
      </c>
      <c r="AK14" s="7">
        <f t="shared" si="29"/>
        <v>0.11056835510562614</v>
      </c>
      <c r="AL14" s="85">
        <f t="shared" si="12"/>
        <v>1723760.6560967115</v>
      </c>
      <c r="AM14" s="6">
        <f t="shared" si="13"/>
        <v>13557293.637142858</v>
      </c>
      <c r="AN14" s="6"/>
      <c r="AO14" s="104">
        <v>13557293.637142858</v>
      </c>
      <c r="AP14" s="87">
        <f>(AO14*AQ14)+AO14</f>
        <v>15590887.682714285</v>
      </c>
      <c r="AQ14" s="237">
        <v>0.15</v>
      </c>
      <c r="AR14" s="25">
        <v>15590000</v>
      </c>
      <c r="AS14" s="240">
        <f>E14+H14+K14+N14+Q14+T14+W14+Z14+AC14+AF14+AI14+AL14</f>
        <v>15590000.000000002</v>
      </c>
      <c r="AT14" s="31">
        <f>AS14-AR14</f>
        <v>0</v>
      </c>
      <c r="AV14" s="253">
        <f>VLOOKUP(B14,[17]AKSoftSalesReport!$A:$B,2,0)</f>
        <v>262433</v>
      </c>
      <c r="AW14" s="28">
        <f t="shared" si="14"/>
        <v>445225.5</v>
      </c>
      <c r="AX14" s="28">
        <f>VLOOKUP(B14,[18]AKSoftSalesReport!$A:$B,2,0)</f>
        <v>154235</v>
      </c>
      <c r="AY14" s="79">
        <f t="shared" si="15"/>
        <v>599460.5</v>
      </c>
      <c r="AZ14" s="28">
        <v>154235</v>
      </c>
      <c r="BA14" s="28">
        <f t="shared" si="16"/>
        <v>338800.45999999996</v>
      </c>
      <c r="BB14" s="28">
        <f>VLOOKUP(B14,[19]AKSoftSalesReport!$A:$B,2,0)</f>
        <v>217113</v>
      </c>
      <c r="BC14" s="28">
        <f t="shared" si="17"/>
        <v>555913.46</v>
      </c>
    </row>
    <row r="15" spans="1:55" x14ac:dyDescent="0.3">
      <c r="A15" s="61">
        <v>12</v>
      </c>
      <c r="B15" s="90" t="s">
        <v>103</v>
      </c>
      <c r="C15" s="70">
        <f>VLOOKUP(B15,[3]AKSoftSalesReport!$B$2:$C$87,2,0)</f>
        <v>863464.76000000047</v>
      </c>
      <c r="D15" s="7">
        <f t="shared" si="18"/>
        <v>8.8424542978287793E-2</v>
      </c>
      <c r="E15" s="85">
        <f t="shared" si="1"/>
        <v>993007.61764617194</v>
      </c>
      <c r="F15" s="70">
        <f>VLOOKUP(B15,[4]AKSoftSalesReport!$B$2:$C$87,2,0)</f>
        <v>361319</v>
      </c>
      <c r="G15" s="7">
        <f t="shared" si="19"/>
        <v>3.7001472352353966E-2</v>
      </c>
      <c r="H15" s="85">
        <f t="shared" si="2"/>
        <v>415526.53451693506</v>
      </c>
      <c r="I15" s="70">
        <f>VLOOKUP(B15,[5]AKSoftSalesReport!$B$2:$C$87,2,0)</f>
        <v>776547</v>
      </c>
      <c r="J15" s="7">
        <f t="shared" si="20"/>
        <v>7.9523585393525983E-2</v>
      </c>
      <c r="K15" s="85">
        <f t="shared" si="3"/>
        <v>893049.8639692968</v>
      </c>
      <c r="L15" s="6">
        <f>VLOOKUP(B15,[6]AKSoftSalesReport!$B$2:$C$87,2,0)</f>
        <v>850146.12000000011</v>
      </c>
      <c r="M15" s="7">
        <f t="shared" si="21"/>
        <v>8.7060625526587304E-2</v>
      </c>
      <c r="N15" s="85">
        <f t="shared" si="4"/>
        <v>977690.82466357539</v>
      </c>
      <c r="O15" s="6">
        <f>VLOOKUP(B15,[7]AKSoftSalesReport!$B$2:$C$89,2,0)</f>
        <v>932362.06</v>
      </c>
      <c r="P15" s="7">
        <f t="shared" si="22"/>
        <v>9.548008542444153E-2</v>
      </c>
      <c r="Q15" s="85">
        <f t="shared" si="5"/>
        <v>1072241.3593164785</v>
      </c>
      <c r="R15" s="6">
        <f>VLOOKUP(B15,[8]AKSoftSalesReport!$B$2:$C$93,2,0)</f>
        <v>896118</v>
      </c>
      <c r="S15" s="7">
        <f t="shared" si="23"/>
        <v>9.1768452258106356E-2</v>
      </c>
      <c r="T15" s="85">
        <f t="shared" si="6"/>
        <v>1030559.7188585344</v>
      </c>
      <c r="U15" s="71">
        <f>VLOOKUP(B15,[9]AKSoftSalesReport!$B$2:$C$94,2,0)</f>
        <v>856343</v>
      </c>
      <c r="V15" s="7">
        <f t="shared" si="24"/>
        <v>8.769522731611637E-2</v>
      </c>
      <c r="W15" s="85">
        <f t="shared" si="7"/>
        <v>984817.40275998681</v>
      </c>
      <c r="X15" s="71">
        <f>VLOOKUP(B15,[10]AKSoftSalesReport!$B$2:$C$94,2,0)</f>
        <v>890508</v>
      </c>
      <c r="Y15" s="7">
        <f t="shared" si="25"/>
        <v>9.1193950889795511E-2</v>
      </c>
      <c r="Z15" s="85">
        <f t="shared" si="8"/>
        <v>1024108.0684924036</v>
      </c>
      <c r="AA15" s="71">
        <f>VLOOKUP(B15,[11]AKSoftSalesReport!$B$2:$C$94,2,0)</f>
        <v>816627</v>
      </c>
      <c r="AB15" s="7">
        <f t="shared" si="26"/>
        <v>8.3628044367126453E-2</v>
      </c>
      <c r="AC15" s="85">
        <f t="shared" si="9"/>
        <v>939142.9382428301</v>
      </c>
      <c r="AD15" s="51">
        <f>VLOOKUP(B15,[12]AKSoftSalesReport!$B$2:$C$89,2,0)</f>
        <v>933222</v>
      </c>
      <c r="AE15" s="7">
        <f t="shared" si="27"/>
        <v>9.5568149008517331E-2</v>
      </c>
      <c r="AF15" s="85">
        <f t="shared" si="10"/>
        <v>1073230.3133656497</v>
      </c>
      <c r="AG15" s="154">
        <f>VLOOKUP(B15,[13]AKSoftSalesReport!$B$2:$C$90,2,0)</f>
        <v>813138</v>
      </c>
      <c r="AH15" s="7">
        <f t="shared" si="28"/>
        <v>8.3270747526834735E-2</v>
      </c>
      <c r="AI15" s="85">
        <f t="shared" si="11"/>
        <v>935130.49472635402</v>
      </c>
      <c r="AJ15" s="104">
        <f>VLOOKUP(B15,[14]AKSoftSalesReport!$A:$D,4,0)</f>
        <v>775194.85714285716</v>
      </c>
      <c r="AK15" s="7">
        <f t="shared" si="29"/>
        <v>7.9385116958306676E-2</v>
      </c>
      <c r="AL15" s="85">
        <f t="shared" si="12"/>
        <v>891494.86344178393</v>
      </c>
      <c r="AM15" s="6">
        <f t="shared" si="13"/>
        <v>9764989.7971428577</v>
      </c>
      <c r="AN15" s="6"/>
      <c r="AO15" s="104">
        <v>9764989.7971428577</v>
      </c>
      <c r="AP15" s="87">
        <f t="shared" si="30"/>
        <v>11229738.266714286</v>
      </c>
      <c r="AQ15" s="237">
        <v>0.15</v>
      </c>
      <c r="AR15" s="25">
        <v>11230000</v>
      </c>
      <c r="AS15" s="240">
        <f t="shared" si="31"/>
        <v>11230000</v>
      </c>
      <c r="AT15" s="31">
        <f t="shared" si="0"/>
        <v>0</v>
      </c>
      <c r="AV15" s="253">
        <f>VLOOKUP(B15,[17]AKSoftSalesReport!$A:$B,2,0)</f>
        <v>319679</v>
      </c>
      <c r="AW15" s="28">
        <f t="shared" si="14"/>
        <v>41640</v>
      </c>
      <c r="AX15" s="28">
        <f>VLOOKUP(B15,[18]AKSoftSalesReport!$A:$B,2,0)</f>
        <v>199503</v>
      </c>
      <c r="AY15" s="79">
        <f t="shared" si="15"/>
        <v>241143</v>
      </c>
      <c r="AZ15" s="28">
        <v>199503</v>
      </c>
      <c r="BA15" s="28">
        <f t="shared" si="16"/>
        <v>577044</v>
      </c>
      <c r="BB15" s="28">
        <f>VLOOKUP(B15,[19]AKSoftSalesReport!$A:$B,2,0)</f>
        <v>318348</v>
      </c>
      <c r="BC15" s="28">
        <f t="shared" si="17"/>
        <v>895392</v>
      </c>
    </row>
    <row r="16" spans="1:55" x14ac:dyDescent="0.3">
      <c r="A16" s="239">
        <v>13</v>
      </c>
      <c r="B16" s="89" t="s">
        <v>77</v>
      </c>
      <c r="C16" s="70">
        <f>VLOOKUP(B16,[3]AKSoftSalesReport!$B$2:$C$87,2,0)</f>
        <v>2067507.8000000077</v>
      </c>
      <c r="D16" s="7">
        <f>C16/AO16</f>
        <v>7.6159376362066641E-2</v>
      </c>
      <c r="E16" s="85">
        <f t="shared" si="1"/>
        <v>2687664.3918173318</v>
      </c>
      <c r="F16" s="70">
        <f>VLOOKUP(B16,[4]AKSoftSalesReport!$B$2:$C$87,2,0)</f>
        <v>1807233.1500000001</v>
      </c>
      <c r="G16" s="7">
        <f t="shared" si="19"/>
        <v>6.6571816389206714E-2</v>
      </c>
      <c r="H16" s="85">
        <f t="shared" si="2"/>
        <v>2349319.400375105</v>
      </c>
      <c r="I16" s="70">
        <f>VLOOKUP(B16,[5]AKSoftSalesReport!$B$2:$C$87,2,0)</f>
        <v>1522117.5</v>
      </c>
      <c r="J16" s="7">
        <f t="shared" si="20"/>
        <v>5.6069205422000119E-2</v>
      </c>
      <c r="K16" s="85">
        <f t="shared" si="3"/>
        <v>1978682.2593423843</v>
      </c>
      <c r="L16" s="6">
        <f>VLOOKUP(B16,[6]AKSoftSalesReport!$B$2:$C$87,2,0)</f>
        <v>1982625.5500000005</v>
      </c>
      <c r="M16" s="7">
        <f t="shared" si="21"/>
        <v>7.3032626743898543E-2</v>
      </c>
      <c r="N16" s="85">
        <f t="shared" si="4"/>
        <v>2577321.3977921796</v>
      </c>
      <c r="O16" s="6">
        <f>VLOOKUP(B16,[7]AKSoftSalesReport!$B$2:$C$89,2,0)</f>
        <v>2345285.9899999979</v>
      </c>
      <c r="P16" s="7">
        <f t="shared" si="22"/>
        <v>8.6391702313815322E-2</v>
      </c>
      <c r="Q16" s="85">
        <f t="shared" si="5"/>
        <v>3048763.1746545429</v>
      </c>
      <c r="R16" s="6">
        <f>VLOOKUP(B16,[8]AKSoftSalesReport!$B$2:$C$93,2,0)</f>
        <v>2385112.5300000007</v>
      </c>
      <c r="S16" s="7">
        <f t="shared" si="23"/>
        <v>8.7858765436411093E-2</v>
      </c>
      <c r="T16" s="85">
        <f t="shared" si="6"/>
        <v>3100535.8322509476</v>
      </c>
      <c r="U16" s="71">
        <f>VLOOKUP(B16,[9]AKSoftSalesReport!$B$2:$C$94,2,0)</f>
        <v>2535882.3199999998</v>
      </c>
      <c r="V16" s="7">
        <f t="shared" si="24"/>
        <v>9.3412569480410171E-2</v>
      </c>
      <c r="W16" s="85">
        <f t="shared" si="7"/>
        <v>3296529.5769636747</v>
      </c>
      <c r="X16" s="71">
        <f>VLOOKUP(B16,[10]AKSoftSalesReport!$B$2:$C$94,2,0)</f>
        <v>2541893.34</v>
      </c>
      <c r="Y16" s="7">
        <f t="shared" si="25"/>
        <v>9.3633993329210116E-2</v>
      </c>
      <c r="Z16" s="85">
        <f t="shared" si="8"/>
        <v>3304343.624587825</v>
      </c>
      <c r="AA16" s="71">
        <f>VLOOKUP(B16,[11]AKSoftSalesReport!$B$2:$C$94,2,0)</f>
        <v>2398607.16</v>
      </c>
      <c r="AB16" s="7">
        <f t="shared" si="26"/>
        <v>8.8355857928655523E-2</v>
      </c>
      <c r="AC16" s="85">
        <f t="shared" si="9"/>
        <v>3118078.2263022535</v>
      </c>
      <c r="AD16" s="51">
        <f>VLOOKUP(B16,[12]AKSoftSalesReport!$B$2:$C$89,2,0)</f>
        <v>2503734</v>
      </c>
      <c r="AE16" s="7">
        <f t="shared" si="27"/>
        <v>9.2228343717253136E-2</v>
      </c>
      <c r="AF16" s="85">
        <f t="shared" si="10"/>
        <v>3254738.2497818633</v>
      </c>
      <c r="AG16" s="154">
        <f>VLOOKUP(B16,[13]AKSoftSalesReport!$B$2:$C$90,2,0)</f>
        <v>2529608</v>
      </c>
      <c r="AH16" s="7">
        <f t="shared" si="28"/>
        <v>9.3181446628880407E-2</v>
      </c>
      <c r="AI16" s="85">
        <f t="shared" si="11"/>
        <v>3288373.2515331898</v>
      </c>
      <c r="AJ16" s="104">
        <f>VLOOKUP(B16,[14]AKSoftSalesReport!$A:$D,4,0)</f>
        <v>2527513.5892857159</v>
      </c>
      <c r="AK16" s="7">
        <f t="shared" si="29"/>
        <v>9.3104296248192164E-2</v>
      </c>
      <c r="AL16" s="85">
        <f t="shared" si="12"/>
        <v>3285650.6145987017</v>
      </c>
      <c r="AM16" s="6">
        <f t="shared" si="13"/>
        <v>27147120.929285724</v>
      </c>
      <c r="AN16" s="6"/>
      <c r="AO16" s="73">
        <v>27147120.929285724</v>
      </c>
      <c r="AP16" s="87">
        <f>(AO16*AQ16)+AO16</f>
        <v>35291257.20807144</v>
      </c>
      <c r="AQ16" s="237">
        <v>0.3</v>
      </c>
      <c r="AR16" s="25">
        <v>35290000</v>
      </c>
      <c r="AS16" s="240">
        <f>E16+H16+K16+N16+Q16+T16+W16+Z16+AC16+AF16+AI16+AL16</f>
        <v>35290000</v>
      </c>
      <c r="AT16" s="31">
        <f>AS16-AR16</f>
        <v>0</v>
      </c>
      <c r="AV16" s="253">
        <f>VLOOKUP(B16,[17]AKSoftSalesReport!$A:$B,2,0)</f>
        <v>661675.5</v>
      </c>
      <c r="AW16" s="28">
        <f t="shared" si="14"/>
        <v>1145557.6500000001</v>
      </c>
      <c r="AX16" s="28">
        <f>VLOOKUP(B16,[18]AKSoftSalesReport!$A:$B,2,0)</f>
        <v>429311.5</v>
      </c>
      <c r="AY16" s="79">
        <f t="shared" si="15"/>
        <v>1574869.1500000001</v>
      </c>
      <c r="AZ16" s="28">
        <v>429311.5</v>
      </c>
      <c r="BA16" s="28">
        <f t="shared" si="16"/>
        <v>1092806</v>
      </c>
      <c r="BB16" s="28">
        <f>VLOOKUP(B16,[19]AKSoftSalesReport!$A:$B,2,0)</f>
        <v>650701</v>
      </c>
      <c r="BC16" s="28">
        <f t="shared" si="17"/>
        <v>1743507</v>
      </c>
    </row>
    <row r="17" spans="1:55" x14ac:dyDescent="0.3">
      <c r="A17" s="61">
        <v>14</v>
      </c>
      <c r="B17" s="90" t="s">
        <v>64</v>
      </c>
      <c r="C17" s="70">
        <f>VLOOKUP(B17,[3]AKSoftSalesReport!$B$2:$C$87,2,0)</f>
        <v>857161.80000000063</v>
      </c>
      <c r="D17" s="7">
        <f>C17/AO17</f>
        <v>8.0670017819113024E-2</v>
      </c>
      <c r="E17" s="85">
        <f t="shared" si="1"/>
        <v>1045483.4309357048</v>
      </c>
      <c r="F17" s="70">
        <f>VLOOKUP(B17,[4]AKSoftSalesReport!$B$2:$C$87,2,0)</f>
        <v>783529.5</v>
      </c>
      <c r="G17" s="7">
        <f t="shared" si="19"/>
        <v>7.3740265521399437E-2</v>
      </c>
      <c r="H17" s="85">
        <f t="shared" si="2"/>
        <v>955673.84115733672</v>
      </c>
      <c r="I17" s="70">
        <f>VLOOKUP(B17,[5]AKSoftSalesReport!$B$2:$C$87,2,0)</f>
        <v>784208</v>
      </c>
      <c r="J17" s="7">
        <f t="shared" si="20"/>
        <v>7.3804121151795313E-2</v>
      </c>
      <c r="K17" s="85">
        <f t="shared" si="3"/>
        <v>956501.41012726724</v>
      </c>
      <c r="L17" s="6">
        <f>VLOOKUP(B17,[6]AKSoftSalesReport!$B$2:$C$87,2,0)</f>
        <v>864953</v>
      </c>
      <c r="M17" s="7">
        <f t="shared" si="21"/>
        <v>8.1403270564198285E-2</v>
      </c>
      <c r="N17" s="85">
        <f t="shared" si="4"/>
        <v>1054986.3865120097</v>
      </c>
      <c r="O17" s="6">
        <f>VLOOKUP(B17,[7]AKSoftSalesReport!$B$2:$C$89,2,0)</f>
        <v>987557</v>
      </c>
      <c r="P17" s="7">
        <f t="shared" si="22"/>
        <v>9.2941893569440159E-2</v>
      </c>
      <c r="Q17" s="85">
        <f t="shared" si="5"/>
        <v>1204526.9406599444</v>
      </c>
      <c r="R17" s="6">
        <f>VLOOKUP(B17,[8]AKSoftSalesReport!$B$2:$C$93,2,0)</f>
        <v>842625</v>
      </c>
      <c r="S17" s="7">
        <f t="shared" si="23"/>
        <v>7.9301916819940019E-2</v>
      </c>
      <c r="T17" s="85">
        <f t="shared" si="6"/>
        <v>1027752.8419864227</v>
      </c>
      <c r="U17" s="71">
        <f>VLOOKUP(B17,[9]AKSoftSalesReport!$B$2:$C$94,2,0)</f>
        <v>968392</v>
      </c>
      <c r="V17" s="7">
        <f t="shared" si="24"/>
        <v>9.1138219057226355E-2</v>
      </c>
      <c r="W17" s="85">
        <f t="shared" si="7"/>
        <v>1181151.3189816535</v>
      </c>
      <c r="X17" s="71">
        <f>VLOOKUP(B17,[10]AKSoftSalesReport!$B$2:$C$94,2,0)</f>
        <v>870717</v>
      </c>
      <c r="Y17" s="7">
        <f t="shared" si="25"/>
        <v>8.1945737555505369E-2</v>
      </c>
      <c r="Z17" s="85">
        <f t="shared" si="8"/>
        <v>1062016.7587193495</v>
      </c>
      <c r="AA17" s="71">
        <f>VLOOKUP(B17,[11]AKSoftSalesReport!$B$2:$C$94,2,0)</f>
        <v>969573</v>
      </c>
      <c r="AB17" s="7">
        <f t="shared" si="26"/>
        <v>9.1249366440420962E-2</v>
      </c>
      <c r="AC17" s="85">
        <f t="shared" si="9"/>
        <v>1182591.7890678556</v>
      </c>
      <c r="AD17" s="51">
        <f>VLOOKUP(B17,[12]AKSoftSalesReport!$B$2:$C$89,2,0)</f>
        <v>1022746.58</v>
      </c>
      <c r="AE17" s="7">
        <f t="shared" si="27"/>
        <v>9.6253688432028639E-2</v>
      </c>
      <c r="AF17" s="85">
        <f t="shared" si="10"/>
        <v>1247447.8020790911</v>
      </c>
      <c r="AG17" s="154">
        <f>VLOOKUP(B17,[13]AKSoftSalesReport!$B$2:$C$90,2,0)</f>
        <v>859725</v>
      </c>
      <c r="AH17" s="7">
        <f t="shared" si="28"/>
        <v>8.0911248109209841E-2</v>
      </c>
      <c r="AI17" s="85">
        <f t="shared" si="11"/>
        <v>1048609.7754953594</v>
      </c>
      <c r="AJ17" s="104">
        <f>VLOOKUP(B17,[14]AKSoftSalesReport!$A:$D,4,0)</f>
        <v>814343.42857142864</v>
      </c>
      <c r="AK17" s="7">
        <f t="shared" si="29"/>
        <v>7.6640254959722542E-2</v>
      </c>
      <c r="AL17" s="85">
        <f t="shared" si="12"/>
        <v>993257.70427800412</v>
      </c>
      <c r="AM17" s="6">
        <f t="shared" si="13"/>
        <v>10625531.30857143</v>
      </c>
      <c r="AN17" s="6"/>
      <c r="AO17" s="73">
        <v>10625531.30857143</v>
      </c>
      <c r="AP17" s="87">
        <f>(AO17*AQ17)+AO17</f>
        <v>12963148.196457144</v>
      </c>
      <c r="AQ17" s="237">
        <v>0.22</v>
      </c>
      <c r="AR17" s="1">
        <v>12960000</v>
      </c>
      <c r="AS17" s="240">
        <f>E17+H17+K17+N17+Q17+T17+W17+Z17+AC17+AF17+AI17+AL17</f>
        <v>12959999.999999998</v>
      </c>
      <c r="AT17" s="31">
        <f>AS17-AR17</f>
        <v>0</v>
      </c>
      <c r="AV17" s="253">
        <f>VLOOKUP(B17,[17]AKSoftSalesReport!$A:$B,2,0)</f>
        <v>268822</v>
      </c>
      <c r="AW17" s="28">
        <f t="shared" si="14"/>
        <v>514707.5</v>
      </c>
      <c r="AX17" s="28">
        <f>VLOOKUP(B17,[18]AKSoftSalesReport!$A:$B,2,0)</f>
        <v>220053</v>
      </c>
      <c r="AY17" s="79">
        <f t="shared" si="15"/>
        <v>734760.5</v>
      </c>
      <c r="AZ17" s="28">
        <v>220053</v>
      </c>
      <c r="BA17" s="28">
        <f t="shared" si="16"/>
        <v>564155</v>
      </c>
      <c r="BB17" s="28">
        <f>VLOOKUP(B17,[19]AKSoftSalesReport!$A:$B,2,0)</f>
        <v>292538</v>
      </c>
      <c r="BC17" s="28">
        <f t="shared" si="17"/>
        <v>856693</v>
      </c>
    </row>
    <row r="18" spans="1:55" x14ac:dyDescent="0.3">
      <c r="A18" s="239">
        <v>15</v>
      </c>
      <c r="B18" s="89" t="s">
        <v>6</v>
      </c>
      <c r="C18" s="70">
        <f>VLOOKUP(B18,[3]AKSoftSalesReport!$B$2:$C$87,2,0)</f>
        <v>3419879.8399999766</v>
      </c>
      <c r="D18" s="7">
        <f t="shared" si="18"/>
        <v>7.8502794562278072E-2</v>
      </c>
      <c r="E18" s="85">
        <f t="shared" si="1"/>
        <v>4274477.1639160411</v>
      </c>
      <c r="F18" s="70">
        <f>VLOOKUP(B18,[4]AKSoftSalesReport!$B$2:$C$87,2,0)</f>
        <v>3069369.51</v>
      </c>
      <c r="G18" s="7">
        <f t="shared" si="19"/>
        <v>7.0456886017156606E-2</v>
      </c>
      <c r="H18" s="85">
        <f t="shared" si="2"/>
        <v>3836377.4436341771</v>
      </c>
      <c r="I18" s="70">
        <f>VLOOKUP(B18,[5]AKSoftSalesReport!$B$2:$C$87,2,0)</f>
        <v>2309536.5</v>
      </c>
      <c r="J18" s="7">
        <f t="shared" si="20"/>
        <v>5.3015040842365968E-2</v>
      </c>
      <c r="K18" s="85">
        <f t="shared" si="3"/>
        <v>2886668.9738668269</v>
      </c>
      <c r="L18" s="6">
        <f>VLOOKUP(B18,[6]AKSoftSalesReport!$B$2:$C$87,2,0)</f>
        <v>3191456.6699999957</v>
      </c>
      <c r="M18" s="7">
        <f t="shared" si="21"/>
        <v>7.3259377241576856E-2</v>
      </c>
      <c r="N18" s="85">
        <f t="shared" si="4"/>
        <v>3988973.0908038598</v>
      </c>
      <c r="O18" s="6">
        <f>VLOOKUP(B18,[7]AKSoftSalesReport!$B$2:$C$89,2,0)</f>
        <v>3605582.4599999767</v>
      </c>
      <c r="P18" s="7">
        <f t="shared" si="22"/>
        <v>8.2765568492819713E-2</v>
      </c>
      <c r="Q18" s="85">
        <f t="shared" si="5"/>
        <v>4506585.2044340335</v>
      </c>
      <c r="R18" s="6">
        <f>VLOOKUP(B18,[8]AKSoftSalesReport!$B$2:$C$93,2,0)</f>
        <v>3610228.0399999735</v>
      </c>
      <c r="S18" s="7">
        <f t="shared" si="23"/>
        <v>8.2872207038448373E-2</v>
      </c>
      <c r="T18" s="85">
        <f t="shared" si="6"/>
        <v>4512391.6732435143</v>
      </c>
      <c r="U18" s="71">
        <f>VLOOKUP(B18,[9]AKSoftSalesReport!$B$2:$C$94,2,0)</f>
        <v>3868911.5899999957</v>
      </c>
      <c r="V18" s="7">
        <f t="shared" si="24"/>
        <v>8.8810246540530019E-2</v>
      </c>
      <c r="W18" s="85">
        <f t="shared" si="7"/>
        <v>4835717.9241318591</v>
      </c>
      <c r="X18" s="71">
        <f>VLOOKUP(B18,[10]AKSoftSalesReport!$B$2:$C$94,2,0)</f>
        <v>3996395.4799999902</v>
      </c>
      <c r="Y18" s="7">
        <f t="shared" si="25"/>
        <v>9.1736618838648462E-2</v>
      </c>
      <c r="Z18" s="85">
        <f t="shared" si="8"/>
        <v>4995058.8957644086</v>
      </c>
      <c r="AA18" s="71">
        <f>VLOOKUP(B18,[11]AKSoftSalesReport!$B$2:$C$94,2,0)</f>
        <v>4002004.519999994</v>
      </c>
      <c r="AB18" s="7">
        <f t="shared" si="26"/>
        <v>9.1865373454428148E-2</v>
      </c>
      <c r="AC18" s="85">
        <f t="shared" si="9"/>
        <v>5002069.5845936127</v>
      </c>
      <c r="AD18" s="51">
        <f>VLOOKUP(B18,[12]AKSoftSalesReport!$B$2:$C$89,2,0)</f>
        <v>4227962.1999999601</v>
      </c>
      <c r="AE18" s="7">
        <f t="shared" si="27"/>
        <v>9.7052195846646011E-2</v>
      </c>
      <c r="AF18" s="85">
        <f t="shared" si="10"/>
        <v>5284492.0638498757</v>
      </c>
      <c r="AG18" s="154">
        <f>VLOOKUP(B18,[13]AKSoftSalesReport!$B$2:$C$90,2,0)</f>
        <v>4127256</v>
      </c>
      <c r="AH18" s="7">
        <f t="shared" si="28"/>
        <v>9.474050113817209E-2</v>
      </c>
      <c r="AI18" s="85">
        <f t="shared" si="11"/>
        <v>5158620.2869734699</v>
      </c>
      <c r="AJ18" s="104">
        <f>VLOOKUP(B18,[14]AKSoftSalesReport!$A:$D,4,0)</f>
        <v>4135214.6200000006</v>
      </c>
      <c r="AK18" s="7">
        <f t="shared" si="29"/>
        <v>9.4923189986929793E-2</v>
      </c>
      <c r="AL18" s="85">
        <f t="shared" si="12"/>
        <v>5168567.6947883274</v>
      </c>
      <c r="AM18" s="6">
        <f t="shared" si="13"/>
        <v>43563797.429999858</v>
      </c>
      <c r="AN18" s="6"/>
      <c r="AO18" s="104">
        <v>43563797.429999858</v>
      </c>
      <c r="AP18" s="87">
        <f t="shared" si="30"/>
        <v>54454746.787499823</v>
      </c>
      <c r="AQ18" s="237">
        <v>0.25</v>
      </c>
      <c r="AR18" s="25">
        <v>54450000</v>
      </c>
      <c r="AS18" s="240">
        <f t="shared" si="31"/>
        <v>54450000.000000007</v>
      </c>
      <c r="AT18" s="31">
        <f t="shared" ref="AT18:AT56" si="32">AS18-AR18</f>
        <v>0</v>
      </c>
      <c r="AV18" s="253">
        <f>VLOOKUP(B18,[17]AKSoftSalesReport!$A:$B,2,0)</f>
        <v>1104068.5</v>
      </c>
      <c r="AW18" s="28">
        <f t="shared" si="14"/>
        <v>1965301.0099999998</v>
      </c>
      <c r="AX18" s="28">
        <f>VLOOKUP(B18,[18]AKSoftSalesReport!$A:$B,2,0)</f>
        <v>675211.5</v>
      </c>
      <c r="AY18" s="79">
        <f t="shared" si="15"/>
        <v>2640512.5099999998</v>
      </c>
      <c r="AZ18" s="28">
        <v>675211.5</v>
      </c>
      <c r="BA18" s="28">
        <f t="shared" si="16"/>
        <v>1634325</v>
      </c>
      <c r="BB18" s="28">
        <f>VLOOKUP(B18,[19]AKSoftSalesReport!$A:$B,2,0)</f>
        <v>986529</v>
      </c>
      <c r="BC18" s="28">
        <f t="shared" si="17"/>
        <v>2620854</v>
      </c>
    </row>
    <row r="19" spans="1:55" x14ac:dyDescent="0.3">
      <c r="A19" s="61">
        <v>16</v>
      </c>
      <c r="B19" s="90" t="s">
        <v>70</v>
      </c>
      <c r="C19" s="70">
        <f>VLOOKUP(B19,[3]AKSoftSalesReport!$B$2:$C$87,2,0)</f>
        <v>3447122.6299999538</v>
      </c>
      <c r="D19" s="7">
        <f t="shared" si="18"/>
        <v>8.1746875975916983E-2</v>
      </c>
      <c r="E19" s="85">
        <f t="shared" si="1"/>
        <v>3963906.0160722146</v>
      </c>
      <c r="F19" s="70">
        <f>VLOOKUP(B19,[4]AKSoftSalesReport!$B$2:$C$87,2,0)</f>
        <v>3060593.2999999993</v>
      </c>
      <c r="G19" s="7">
        <f t="shared" si="19"/>
        <v>7.2580516495238737E-2</v>
      </c>
      <c r="H19" s="85">
        <f t="shared" si="2"/>
        <v>3519429.2448541261</v>
      </c>
      <c r="I19" s="70">
        <f>VLOOKUP(B19,[5]AKSoftSalesReport!$B$2:$C$87,2,0)</f>
        <v>2360876</v>
      </c>
      <c r="J19" s="7">
        <f t="shared" si="20"/>
        <v>5.5987053053149299E-2</v>
      </c>
      <c r="K19" s="85">
        <f t="shared" si="3"/>
        <v>2714812.2025472093</v>
      </c>
      <c r="L19" s="6">
        <f>VLOOKUP(B19,[6]AKSoftSalesReport!$B$2:$C$87,2,0)</f>
        <v>3332212.0599999996</v>
      </c>
      <c r="M19" s="7">
        <f t="shared" si="21"/>
        <v>7.9021826384597885E-2</v>
      </c>
      <c r="N19" s="85">
        <f t="shared" si="4"/>
        <v>3831768.3613891513</v>
      </c>
      <c r="O19" s="6">
        <f>VLOOKUP(B19,[7]AKSoftSalesReport!$B$2:$C$89,2,0)</f>
        <v>3548709.4699999937</v>
      </c>
      <c r="P19" s="7">
        <f t="shared" si="22"/>
        <v>8.4155959638330433E-2</v>
      </c>
      <c r="Q19" s="85">
        <f t="shared" si="5"/>
        <v>4080722.4828626425</v>
      </c>
      <c r="R19" s="6">
        <f>VLOOKUP(B19,[8]AKSoftSalesReport!$B$2:$C$93,2,0)</f>
        <v>3591745.8299999828</v>
      </c>
      <c r="S19" s="7">
        <f t="shared" si="23"/>
        <v>8.5176546475815254E-2</v>
      </c>
      <c r="T19" s="85">
        <f t="shared" si="6"/>
        <v>4130210.7386122816</v>
      </c>
      <c r="U19" s="71">
        <f>VLOOKUP(B19,[9]AKSoftSalesReport!$B$2:$C$94,2,0)</f>
        <v>4291155.5</v>
      </c>
      <c r="V19" s="7">
        <f t="shared" si="24"/>
        <v>0.10176271461856252</v>
      </c>
      <c r="W19" s="85">
        <f t="shared" si="7"/>
        <v>4934474.0318540968</v>
      </c>
      <c r="X19" s="71">
        <f>VLOOKUP(B19,[10]AKSoftSalesReport!$B$2:$C$94,2,0)</f>
        <v>4064131.2999999942</v>
      </c>
      <c r="Y19" s="7">
        <f t="shared" si="25"/>
        <v>9.6378943539628642E-2</v>
      </c>
      <c r="Z19" s="85">
        <f t="shared" si="8"/>
        <v>4673414.9722365933</v>
      </c>
      <c r="AA19" s="71">
        <f>VLOOKUP(B19,[11]AKSoftSalesReport!$B$2:$C$94,2,0)</f>
        <v>3826800.8100000019</v>
      </c>
      <c r="AB19" s="7">
        <f t="shared" si="26"/>
        <v>9.0750763688268607E-2</v>
      </c>
      <c r="AC19" s="85">
        <f t="shared" si="9"/>
        <v>4400504.5312441448</v>
      </c>
      <c r="AD19" s="51">
        <f>VLOOKUP(B19,[12]AKSoftSalesReport!$B$2:$C$89,2,0)</f>
        <v>3802872</v>
      </c>
      <c r="AE19" s="7">
        <f t="shared" si="27"/>
        <v>9.0183303323993297E-2</v>
      </c>
      <c r="AF19" s="85">
        <f t="shared" si="10"/>
        <v>4372988.3781804349</v>
      </c>
      <c r="AG19" s="154">
        <f>VLOOKUP(B19,[13]AKSoftSalesReport!$B$2:$C$90,2,0)</f>
        <v>3398782</v>
      </c>
      <c r="AH19" s="7">
        <f t="shared" si="28"/>
        <v>8.0600500894620855E-2</v>
      </c>
      <c r="AI19" s="85">
        <f t="shared" si="11"/>
        <v>3908318.2883801651</v>
      </c>
      <c r="AJ19" s="104">
        <f>VLOOKUP(B19,[14]AKSoftSalesReport!$A:$D,4,0)</f>
        <v>3443248.2085714284</v>
      </c>
      <c r="AK19" s="7">
        <f t="shared" si="29"/>
        <v>8.1654995911877568E-2</v>
      </c>
      <c r="AL19" s="85">
        <f t="shared" si="12"/>
        <v>3959450.7517669434</v>
      </c>
      <c r="AM19" s="6">
        <f t="shared" si="13"/>
        <v>42168249.108571351</v>
      </c>
      <c r="AN19" s="6"/>
      <c r="AO19" s="104">
        <v>42168249.108571351</v>
      </c>
      <c r="AP19" s="87">
        <f t="shared" si="30"/>
        <v>48493486.474857055</v>
      </c>
      <c r="AQ19" s="237">
        <v>0.15</v>
      </c>
      <c r="AR19" s="25">
        <v>48490000</v>
      </c>
      <c r="AS19" s="240">
        <f t="shared" si="31"/>
        <v>48490000.000000007</v>
      </c>
      <c r="AT19" s="31">
        <f t="shared" si="32"/>
        <v>0</v>
      </c>
      <c r="AV19" s="253">
        <f>VLOOKUP(B19,[17]AKSoftSalesReport!$A:$B,2,0)</f>
        <v>1131904.5</v>
      </c>
      <c r="AW19" s="28">
        <f t="shared" si="14"/>
        <v>1928688.7999999993</v>
      </c>
      <c r="AX19" s="28">
        <f>VLOOKUP(B19,[18]AKSoftSalesReport!$A:$B,2,0)</f>
        <v>626437</v>
      </c>
      <c r="AY19" s="79">
        <f t="shared" si="15"/>
        <v>2555125.7999999993</v>
      </c>
      <c r="AZ19" s="28">
        <v>626437</v>
      </c>
      <c r="BA19" s="28">
        <f t="shared" si="16"/>
        <v>1734439</v>
      </c>
      <c r="BB19" s="28">
        <f>VLOOKUP(B19,[19]AKSoftSalesReport!$A:$B,2,0)</f>
        <v>1136803</v>
      </c>
      <c r="BC19" s="28">
        <f t="shared" si="17"/>
        <v>2871242</v>
      </c>
    </row>
    <row r="20" spans="1:55" x14ac:dyDescent="0.3">
      <c r="A20" s="239">
        <v>17</v>
      </c>
      <c r="B20" s="89" t="s">
        <v>7</v>
      </c>
      <c r="C20" s="70">
        <f>VLOOKUP(B20,[3]AKSoftSalesReport!$B$2:$C$87,2,0)</f>
        <v>1653621.7700000051</v>
      </c>
      <c r="D20" s="7">
        <f t="shared" si="18"/>
        <v>8.3504287593016355E-2</v>
      </c>
      <c r="E20" s="85">
        <f t="shared" si="1"/>
        <v>1984061.8732100686</v>
      </c>
      <c r="F20" s="70">
        <f>VLOOKUP(B20,[4]AKSoftSalesReport!$B$2:$C$87,2,0)</f>
        <v>1510237.53</v>
      </c>
      <c r="G20" s="7">
        <f t="shared" si="19"/>
        <v>7.6263696648651569E-2</v>
      </c>
      <c r="H20" s="85">
        <f t="shared" si="2"/>
        <v>1812025.4323719612</v>
      </c>
      <c r="I20" s="70">
        <f>VLOOKUP(B20,[5]AKSoftSalesReport!$B$2:$C$87,2,0)</f>
        <v>785776.5</v>
      </c>
      <c r="J20" s="7">
        <f t="shared" si="20"/>
        <v>3.9679996980103625E-2</v>
      </c>
      <c r="K20" s="85">
        <f t="shared" si="3"/>
        <v>942796.72824726219</v>
      </c>
      <c r="L20" s="6">
        <f>VLOOKUP(B20,[6]AKSoftSalesReport!$B$2:$C$87,2,0)</f>
        <v>1342255.9500000002</v>
      </c>
      <c r="M20" s="7">
        <f t="shared" si="21"/>
        <v>6.7780993759072886E-2</v>
      </c>
      <c r="N20" s="85">
        <f t="shared" si="4"/>
        <v>1610476.4117155718</v>
      </c>
      <c r="O20" s="6">
        <f>VLOOKUP(B20,[7]AKSoftSalesReport!$B$2:$C$89,2,0)</f>
        <v>1916878.2500000002</v>
      </c>
      <c r="P20" s="7">
        <f t="shared" si="22"/>
        <v>9.6798164835963332E-2</v>
      </c>
      <c r="Q20" s="85">
        <f t="shared" si="5"/>
        <v>2299924.3965024888</v>
      </c>
      <c r="R20" s="6">
        <f>VLOOKUP(B20,[8]AKSoftSalesReport!$B$2:$C$93,2,0)</f>
        <v>1636756.2600000019</v>
      </c>
      <c r="S20" s="7">
        <f t="shared" si="23"/>
        <v>8.2652616175166588E-2</v>
      </c>
      <c r="T20" s="85">
        <f t="shared" si="6"/>
        <v>1963826.1603219581</v>
      </c>
      <c r="U20" s="71">
        <f>VLOOKUP(B20,[9]AKSoftSalesReport!$B$2:$C$94,2,0)</f>
        <v>1884518.0000000016</v>
      </c>
      <c r="V20" s="7">
        <f t="shared" si="24"/>
        <v>9.5164042891268688E-2</v>
      </c>
      <c r="W20" s="85">
        <f t="shared" si="7"/>
        <v>2261097.6590965441</v>
      </c>
      <c r="X20" s="71">
        <f>VLOOKUP(B20,[10]AKSoftSalesReport!$B$2:$C$94,2,0)</f>
        <v>1824832.0400000017</v>
      </c>
      <c r="Y20" s="7">
        <f t="shared" si="25"/>
        <v>9.2150032275585242E-2</v>
      </c>
      <c r="Z20" s="85">
        <f t="shared" si="8"/>
        <v>2189484.7668679054</v>
      </c>
      <c r="AA20" s="71">
        <f>VLOOKUP(B20,[11]AKSoftSalesReport!$B$2:$C$94,2,0)</f>
        <v>1713914.7200000002</v>
      </c>
      <c r="AB20" s="7">
        <f t="shared" si="26"/>
        <v>8.6548949877929868E-2</v>
      </c>
      <c r="AC20" s="85">
        <f t="shared" si="9"/>
        <v>2056403.0490996137</v>
      </c>
      <c r="AD20" s="51">
        <f>VLOOKUP(B20,[12]AKSoftSalesReport!$B$2:$C$89,2,0)</f>
        <v>1879591.2400000009</v>
      </c>
      <c r="AE20" s="7">
        <f t="shared" si="27"/>
        <v>9.4915252272152792E-2</v>
      </c>
      <c r="AF20" s="85">
        <f t="shared" si="10"/>
        <v>2255186.3939863504</v>
      </c>
      <c r="AG20" s="154">
        <f>VLOOKUP(B20,[13]AKSoftSalesReport!$B$2:$C$90,2,0)</f>
        <v>1788560</v>
      </c>
      <c r="AH20" s="7">
        <f t="shared" si="28"/>
        <v>9.0318373479906996E-2</v>
      </c>
      <c r="AI20" s="85">
        <f t="shared" si="11"/>
        <v>2145964.55388259</v>
      </c>
      <c r="AJ20" s="104">
        <f>VLOOKUP(B20,[14]AKSoftSalesReport!$A:$D,4,0)</f>
        <v>1865894.4285714284</v>
      </c>
      <c r="AK20" s="7">
        <f t="shared" si="29"/>
        <v>9.4223593211182136E-2</v>
      </c>
      <c r="AL20" s="85">
        <f t="shared" si="12"/>
        <v>2238752.5746976878</v>
      </c>
      <c r="AM20" s="6">
        <f t="shared" si="13"/>
        <v>19802836.688571438</v>
      </c>
      <c r="AN20" s="6"/>
      <c r="AO20" s="104">
        <v>19802836.688571438</v>
      </c>
      <c r="AP20" s="87">
        <f t="shared" si="30"/>
        <v>23763404.026285727</v>
      </c>
      <c r="AQ20" s="237">
        <v>0.2</v>
      </c>
      <c r="AR20" s="25">
        <v>23760000</v>
      </c>
      <c r="AS20" s="240">
        <f t="shared" si="31"/>
        <v>23760000.000000007</v>
      </c>
      <c r="AT20" s="31">
        <f t="shared" si="32"/>
        <v>0</v>
      </c>
      <c r="AV20" s="253">
        <f>VLOOKUP(B20,[17]AKSoftSalesReport!$A:$B,2,0)</f>
        <v>522203.5</v>
      </c>
      <c r="AW20" s="28">
        <f t="shared" si="14"/>
        <v>988034.03</v>
      </c>
      <c r="AX20" s="28">
        <f>VLOOKUP(B20,[18]AKSoftSalesReport!$A:$B,2,0)</f>
        <v>251649.5</v>
      </c>
      <c r="AY20" s="79">
        <f t="shared" si="15"/>
        <v>1239683.53</v>
      </c>
      <c r="AZ20" s="28">
        <v>251649.5</v>
      </c>
      <c r="BA20" s="28">
        <f t="shared" si="16"/>
        <v>534127</v>
      </c>
      <c r="BB20" s="28">
        <f>VLOOKUP(B20,[19]AKSoftSalesReport!$A:$B,2,0)</f>
        <v>324525</v>
      </c>
      <c r="BC20" s="28">
        <f t="shared" si="17"/>
        <v>858652</v>
      </c>
    </row>
    <row r="21" spans="1:55" x14ac:dyDescent="0.3">
      <c r="A21" s="61">
        <v>18</v>
      </c>
      <c r="B21" s="90" t="s">
        <v>140</v>
      </c>
      <c r="C21" s="70">
        <f>VLOOKUP(B21,[3]AKSoftSalesReport!$B$2:$C$87,2,0)</f>
        <v>919472.31000000075</v>
      </c>
      <c r="D21" s="7">
        <f t="shared" si="18"/>
        <v>7.2396601656946585E-2</v>
      </c>
      <c r="E21" s="85">
        <f t="shared" si="1"/>
        <v>1241239.7354083492</v>
      </c>
      <c r="F21" s="70">
        <f>VLOOKUP(B21,[4]AKSoftSalesReport!$B$2:$C$87,2,0)</f>
        <v>913798</v>
      </c>
      <c r="G21" s="7">
        <f t="shared" si="19"/>
        <v>7.1949822829264334E-2</v>
      </c>
      <c r="H21" s="85">
        <f t="shared" si="2"/>
        <v>1233579.712407737</v>
      </c>
      <c r="I21" s="70">
        <f>VLOOKUP(B21,[5]AKSoftSalesReport!$B$2:$C$87,2,0)</f>
        <v>648565</v>
      </c>
      <c r="J21" s="7">
        <f t="shared" si="20"/>
        <v>5.1066140266516041E-2</v>
      </c>
      <c r="K21" s="85">
        <f t="shared" si="3"/>
        <v>875528.97486941749</v>
      </c>
      <c r="L21" s="6">
        <f>VLOOKUP(B21,[6]AKSoftSalesReport!$B$2:$C$87,2,0)</f>
        <v>1010471</v>
      </c>
      <c r="M21" s="7">
        <f t="shared" si="21"/>
        <v>7.9561576436049941E-2</v>
      </c>
      <c r="N21" s="85">
        <f t="shared" si="4"/>
        <v>1364083.2279960762</v>
      </c>
      <c r="O21" s="6">
        <f>VLOOKUP(B21,[7]AKSoftSalesReport!$B$2:$C$89,2,0)</f>
        <v>1095487.3500000006</v>
      </c>
      <c r="P21" s="7">
        <f t="shared" si="22"/>
        <v>8.6255518992381611E-2</v>
      </c>
      <c r="Q21" s="85">
        <f t="shared" si="5"/>
        <v>1478850.8731243827</v>
      </c>
      <c r="R21" s="6">
        <f>VLOOKUP(B21,[8]AKSoftSalesReport!$B$2:$C$93,2,0)</f>
        <v>1009346.400000004</v>
      </c>
      <c r="S21" s="7">
        <f t="shared" si="23"/>
        <v>7.9473028670839788E-2</v>
      </c>
      <c r="T21" s="85">
        <f t="shared" si="6"/>
        <v>1362565.076561548</v>
      </c>
      <c r="U21" s="71">
        <f>VLOOKUP(B21,[9]AKSoftSalesReport!$B$2:$C$94,2,0)</f>
        <v>1148016</v>
      </c>
      <c r="V21" s="7">
        <f t="shared" si="24"/>
        <v>9.0391473613600296E-2</v>
      </c>
      <c r="W21" s="85">
        <f t="shared" si="7"/>
        <v>1549761.815105177</v>
      </c>
      <c r="X21" s="71">
        <f>VLOOKUP(B21,[10]AKSoftSalesReport!$B$2:$C$94,2,0)</f>
        <v>1179276.9500000007</v>
      </c>
      <c r="Y21" s="7">
        <f t="shared" si="25"/>
        <v>9.2852870786689468E-2</v>
      </c>
      <c r="Z21" s="85">
        <f t="shared" si="8"/>
        <v>1591962.4696377909</v>
      </c>
      <c r="AA21" s="71">
        <f>VLOOKUP(B21,[11]AKSoftSalesReport!$B$2:$C$94,2,0)</f>
        <v>1089417.02</v>
      </c>
      <c r="AB21" s="7">
        <f t="shared" si="26"/>
        <v>8.5777558690416394E-2</v>
      </c>
      <c r="AC21" s="85">
        <f t="shared" si="9"/>
        <v>1470656.2437471892</v>
      </c>
      <c r="AD21" s="51">
        <f>VLOOKUP(B21,[12]AKSoftSalesReport!$B$2:$C$89,2,0)</f>
        <v>1260534.1100000017</v>
      </c>
      <c r="AE21" s="7">
        <f t="shared" si="27"/>
        <v>9.9250825548692953E-2</v>
      </c>
      <c r="AF21" s="85">
        <f t="shared" si="10"/>
        <v>1701655.4040323407</v>
      </c>
      <c r="AG21" s="154">
        <f>VLOOKUP(B21,[13]AKSoftSalesReport!$B$2:$C$90,2,0)</f>
        <v>1216829</v>
      </c>
      <c r="AH21" s="7">
        <f t="shared" si="28"/>
        <v>9.5809611055737584E-2</v>
      </c>
      <c r="AI21" s="85">
        <f t="shared" si="11"/>
        <v>1642655.7815506209</v>
      </c>
      <c r="AJ21" s="104">
        <f>VLOOKUP(B21,[14]AKSoftSalesReport!$A:$D,4,0)</f>
        <v>1209276.7857142857</v>
      </c>
      <c r="AK21" s="7">
        <f t="shared" si="29"/>
        <v>9.5214971452864977E-2</v>
      </c>
      <c r="AL21" s="85">
        <f t="shared" si="12"/>
        <v>1632460.6855593701</v>
      </c>
      <c r="AM21" s="6">
        <f t="shared" si="13"/>
        <v>12700489.925714293</v>
      </c>
      <c r="AN21" s="155"/>
      <c r="AO21" s="73">
        <v>12700489.925714293</v>
      </c>
      <c r="AP21" s="87">
        <f t="shared" si="30"/>
        <v>17145661.399714295</v>
      </c>
      <c r="AQ21" s="237">
        <v>0.35</v>
      </c>
      <c r="AR21" s="1">
        <v>17145000</v>
      </c>
      <c r="AS21" s="240">
        <f t="shared" si="31"/>
        <v>17145000</v>
      </c>
      <c r="AT21" s="31">
        <f t="shared" si="32"/>
        <v>0</v>
      </c>
      <c r="AV21" s="253">
        <f>VLOOKUP(B21,[17]AKSoftSalesReport!$A:$B,2,0)</f>
        <v>339285.5</v>
      </c>
      <c r="AW21" s="28">
        <f t="shared" si="14"/>
        <v>574512.5</v>
      </c>
      <c r="AX21" s="28">
        <f>VLOOKUP(B21,[18]AKSoftSalesReport!$A:$B,2,0)</f>
        <v>211205</v>
      </c>
      <c r="AY21" s="79">
        <f t="shared" si="15"/>
        <v>785717.5</v>
      </c>
      <c r="AZ21" s="28">
        <v>211205</v>
      </c>
      <c r="BA21" s="28">
        <f t="shared" si="16"/>
        <v>437360</v>
      </c>
      <c r="BB21" s="28">
        <f>VLOOKUP(B21,[19]AKSoftSalesReport!$A:$B,2,0)</f>
        <v>294875</v>
      </c>
      <c r="BC21" s="28">
        <f t="shared" si="17"/>
        <v>732235</v>
      </c>
    </row>
    <row r="22" spans="1:55" x14ac:dyDescent="0.3">
      <c r="A22" s="239">
        <v>19</v>
      </c>
      <c r="B22" s="89" t="s">
        <v>141</v>
      </c>
      <c r="C22" s="70">
        <f>VLOOKUP(B22,[3]AKSoftSalesReport!$B$2:$C$87,2,0)</f>
        <v>1519333.1300000015</v>
      </c>
      <c r="D22" s="7">
        <f t="shared" si="18"/>
        <v>8.7795557374070604E-2</v>
      </c>
      <c r="E22" s="85">
        <f t="shared" si="1"/>
        <v>2050904.2202582892</v>
      </c>
      <c r="F22" s="70">
        <f>VLOOKUP(B22,[4]AKSoftSalesReport!$B$2:$C$87,2,0)</f>
        <v>1320582.6200000006</v>
      </c>
      <c r="G22" s="7">
        <f t="shared" si="19"/>
        <v>7.6310642407574181E-2</v>
      </c>
      <c r="H22" s="85">
        <f t="shared" si="2"/>
        <v>1782616.6066409328</v>
      </c>
      <c r="I22" s="70">
        <f>VLOOKUP(B22,[5]AKSoftSalesReport!$B$2:$C$87,2,0)</f>
        <v>886666</v>
      </c>
      <c r="J22" s="7">
        <f t="shared" si="20"/>
        <v>5.1236515638040228E-2</v>
      </c>
      <c r="K22" s="85">
        <f t="shared" si="3"/>
        <v>1196885.0053046197</v>
      </c>
      <c r="L22" s="6">
        <f>VLOOKUP(B22,[6]AKSoftSalesReport!$B$2:$C$87,2,0)</f>
        <v>1278492.7000000002</v>
      </c>
      <c r="M22" s="7">
        <f t="shared" si="21"/>
        <v>7.3878451656734651E-2</v>
      </c>
      <c r="N22" s="85">
        <f t="shared" si="4"/>
        <v>1725800.6307013214</v>
      </c>
      <c r="O22" s="6">
        <f>VLOOKUP(B22,[7]AKSoftSalesReport!$B$2:$C$89,2,0)</f>
        <v>1697742.8500000008</v>
      </c>
      <c r="P22" s="7">
        <f t="shared" si="22"/>
        <v>9.8105067842226973E-2</v>
      </c>
      <c r="Q22" s="85">
        <f t="shared" si="5"/>
        <v>2291734.384794422</v>
      </c>
      <c r="R22" s="6">
        <f>VLOOKUP(B22,[8]AKSoftSalesReport!$B$2:$C$93,2,0)</f>
        <v>1434183.9500000014</v>
      </c>
      <c r="S22" s="7">
        <f t="shared" si="23"/>
        <v>8.2875161991100788E-2</v>
      </c>
      <c r="T22" s="85">
        <f t="shared" si="6"/>
        <v>1935963.7841121145</v>
      </c>
      <c r="U22" s="71">
        <f>VLOOKUP(B22,[9]AKSoftSalesReport!$B$2:$C$94,2,0)</f>
        <v>1490991.2100000004</v>
      </c>
      <c r="V22" s="7">
        <f t="shared" si="24"/>
        <v>8.6157802878812931E-2</v>
      </c>
      <c r="W22" s="85">
        <f t="shared" si="7"/>
        <v>2012646.27524907</v>
      </c>
      <c r="X22" s="71">
        <f>VLOOKUP(B22,[10]AKSoftSalesReport!$B$2:$C$94,2,0)</f>
        <v>1491827.1000000008</v>
      </c>
      <c r="Y22" s="7">
        <f t="shared" si="25"/>
        <v>8.6206105273465145E-2</v>
      </c>
      <c r="Z22" s="85">
        <f t="shared" si="8"/>
        <v>2013774.6191881457</v>
      </c>
      <c r="AA22" s="71">
        <f>VLOOKUP(B22,[11]AKSoftSalesReport!$B$2:$C$94,2,0)</f>
        <v>1588161</v>
      </c>
      <c r="AB22" s="7">
        <f t="shared" si="26"/>
        <v>9.1772816271544877E-2</v>
      </c>
      <c r="AC22" s="85">
        <f t="shared" si="9"/>
        <v>2143812.9881032882</v>
      </c>
      <c r="AD22" s="51">
        <f>VLOOKUP(B22,[12]AKSoftSalesReport!$B$2:$C$89,2,0)</f>
        <v>1646064</v>
      </c>
      <c r="AE22" s="7">
        <f t="shared" si="27"/>
        <v>9.511877513879527E-2</v>
      </c>
      <c r="AF22" s="85">
        <f t="shared" si="10"/>
        <v>2221974.5872422573</v>
      </c>
      <c r="AG22" s="154">
        <f>VLOOKUP(B22,[13]AKSoftSalesReport!$B$2:$C$90,2,0)</f>
        <v>1455397</v>
      </c>
      <c r="AH22" s="7">
        <f t="shared" si="28"/>
        <v>8.4100970545906609E-2</v>
      </c>
      <c r="AI22" s="85">
        <f t="shared" si="11"/>
        <v>1964598.6719523785</v>
      </c>
      <c r="AJ22" s="104">
        <f>VLOOKUP(B22,[14]AKSoftSalesReport!$A:$D,4,0)</f>
        <v>1495911.6428571427</v>
      </c>
      <c r="AK22" s="7">
        <f t="shared" si="29"/>
        <v>8.6442132981727551E-2</v>
      </c>
      <c r="AL22" s="85">
        <f t="shared" si="12"/>
        <v>2019288.2264531555</v>
      </c>
      <c r="AM22" s="6">
        <f t="shared" si="13"/>
        <v>17305353.202857152</v>
      </c>
      <c r="AN22" s="155"/>
      <c r="AO22" s="73">
        <v>17305353.202857152</v>
      </c>
      <c r="AP22" s="87">
        <f t="shared" si="30"/>
        <v>23362226.823857155</v>
      </c>
      <c r="AQ22" s="237">
        <v>0.35</v>
      </c>
      <c r="AR22" s="3">
        <v>23360000</v>
      </c>
      <c r="AS22" s="240">
        <f t="shared" si="31"/>
        <v>23359999.999999993</v>
      </c>
      <c r="AT22" s="31">
        <f t="shared" si="32"/>
        <v>0</v>
      </c>
      <c r="AV22" s="253">
        <f>VLOOKUP(B22,[17]AKSoftSalesReport!$A:$B,2,0)</f>
        <v>472462</v>
      </c>
      <c r="AW22" s="28">
        <f t="shared" si="14"/>
        <v>848120.62000000058</v>
      </c>
      <c r="AX22" s="28">
        <f>VLOOKUP(B22,[18]AKSoftSalesReport!$A:$B,2,0)</f>
        <v>290987</v>
      </c>
      <c r="AY22" s="79">
        <f t="shared" si="15"/>
        <v>1139107.6200000006</v>
      </c>
      <c r="AZ22" s="28">
        <v>290987</v>
      </c>
      <c r="BA22" s="28">
        <f t="shared" si="16"/>
        <v>595679</v>
      </c>
      <c r="BB22" s="28">
        <f>VLOOKUP(B22,[19]AKSoftSalesReport!$A:$B,2,0)</f>
        <v>395643</v>
      </c>
      <c r="BC22" s="28">
        <f t="shared" si="17"/>
        <v>991322</v>
      </c>
    </row>
    <row r="23" spans="1:55" x14ac:dyDescent="0.3">
      <c r="A23" s="61">
        <v>20</v>
      </c>
      <c r="B23" s="90" t="s">
        <v>150</v>
      </c>
      <c r="C23" s="70">
        <f>VLOOKUP(B23,[3]AKSoftSalesReport!$B$2:$C$87,2,0)</f>
        <v>2002085.2400000053</v>
      </c>
      <c r="D23" s="7">
        <f t="shared" si="18"/>
        <v>7.0250012773595785E-2</v>
      </c>
      <c r="E23" s="85">
        <f t="shared" si="1"/>
        <v>2702869.241464098</v>
      </c>
      <c r="F23" s="70">
        <f>VLOOKUP(B23,[4]AKSoftSalesReport!$B$2:$C$87,2,0)</f>
        <v>1984920</v>
      </c>
      <c r="G23" s="7">
        <f t="shared" si="19"/>
        <v>6.9647711580234903E-2</v>
      </c>
      <c r="H23" s="85">
        <f t="shared" si="2"/>
        <v>2679695.7030495377</v>
      </c>
      <c r="I23" s="70">
        <f>VLOOKUP(B23,[5]AKSoftSalesReport!$B$2:$C$87,2,0)</f>
        <v>1257224</v>
      </c>
      <c r="J23" s="7">
        <f t="shared" si="20"/>
        <v>4.4114006883778312E-2</v>
      </c>
      <c r="K23" s="85">
        <f t="shared" si="3"/>
        <v>1697286.4148533705</v>
      </c>
      <c r="L23" s="6">
        <f>VLOOKUP(B23,[6]AKSoftSalesReport!$B$2:$C$87,2,0)</f>
        <v>2000318.2800000003</v>
      </c>
      <c r="M23" s="7">
        <f t="shared" si="21"/>
        <v>7.0188012934582544E-2</v>
      </c>
      <c r="N23" s="85">
        <f t="shared" si="4"/>
        <v>2700483.7976580635</v>
      </c>
      <c r="O23" s="6">
        <f>VLOOKUP(B23,[7]AKSoftSalesReport!$B$2:$C$89,2,0)</f>
        <v>2488154.229999993</v>
      </c>
      <c r="P23" s="7">
        <f t="shared" si="22"/>
        <v>8.7305406856790682E-2</v>
      </c>
      <c r="Q23" s="85">
        <f t="shared" si="5"/>
        <v>3359075.5288150213</v>
      </c>
      <c r="R23" s="6">
        <f>VLOOKUP(B23,[8]AKSoftSalesReport!$B$2:$C$93,2,0)</f>
        <v>2364366.5100000035</v>
      </c>
      <c r="S23" s="7">
        <f t="shared" si="23"/>
        <v>8.296189103764727E-2</v>
      </c>
      <c r="T23" s="85">
        <f t="shared" si="6"/>
        <v>3191958.7576734787</v>
      </c>
      <c r="U23" s="71">
        <f>VLOOKUP(B23,[9]AKSoftSalesReport!$B$2:$C$94,2,0)</f>
        <v>2790987.0799999996</v>
      </c>
      <c r="V23" s="7">
        <f t="shared" si="24"/>
        <v>9.793133384317855E-2</v>
      </c>
      <c r="W23" s="85">
        <f t="shared" si="7"/>
        <v>3767908.0696162949</v>
      </c>
      <c r="X23" s="71">
        <f>VLOOKUP(B23,[10]AKSoftSalesReport!$B$2:$C$94,2,0)</f>
        <v>2881255.0199999968</v>
      </c>
      <c r="Y23" s="7">
        <f t="shared" si="25"/>
        <v>0.10109869345971813</v>
      </c>
      <c r="Z23" s="85">
        <f t="shared" si="8"/>
        <v>3889772.2308626547</v>
      </c>
      <c r="AA23" s="71">
        <f>VLOOKUP(B23,[11]AKSoftSalesReport!$B$2:$C$94,2,0)</f>
        <v>2786064.6699999943</v>
      </c>
      <c r="AB23" s="7">
        <f t="shared" si="26"/>
        <v>9.7758614241401129E-2</v>
      </c>
      <c r="AC23" s="85">
        <f t="shared" si="9"/>
        <v>3761262.6829379085</v>
      </c>
      <c r="AD23" s="51">
        <f>VLOOKUP(B23,[12]AKSoftSalesReport!$B$2:$C$89,2,0)</f>
        <v>2677867.8100000005</v>
      </c>
      <c r="AE23" s="7">
        <f t="shared" si="27"/>
        <v>9.3962157105009422E-2</v>
      </c>
      <c r="AF23" s="85">
        <f t="shared" si="10"/>
        <v>3615193.9946152377</v>
      </c>
      <c r="AG23" s="154">
        <f>VLOOKUP(B23,[13]AKSoftSalesReport!$B$2:$C$90,2,0)</f>
        <v>2471914</v>
      </c>
      <c r="AH23" s="7">
        <f t="shared" si="28"/>
        <v>8.6735562805123012E-2</v>
      </c>
      <c r="AI23" s="85">
        <f t="shared" si="11"/>
        <v>3337150.7789271078</v>
      </c>
      <c r="AJ23" s="104">
        <f>VLOOKUP(B23,[14]AKSoftSalesReport!$A:$D,4,0)</f>
        <v>2794271.9992857161</v>
      </c>
      <c r="AK23" s="7">
        <f t="shared" si="29"/>
        <v>9.8046596478940151E-2</v>
      </c>
      <c r="AL23" s="85">
        <f t="shared" si="12"/>
        <v>3772342.7995272223</v>
      </c>
      <c r="AM23" s="6">
        <f t="shared" si="13"/>
        <v>28499428.839285713</v>
      </c>
      <c r="AN23" s="155"/>
      <c r="AO23" s="73">
        <v>28499428.839285713</v>
      </c>
      <c r="AP23" s="87">
        <f t="shared" si="30"/>
        <v>38474228.933035709</v>
      </c>
      <c r="AQ23" s="237">
        <v>0.35</v>
      </c>
      <c r="AR23" s="3">
        <v>38475000</v>
      </c>
      <c r="AS23" s="240">
        <f t="shared" si="31"/>
        <v>38474999.999999993</v>
      </c>
      <c r="AT23" s="31">
        <f t="shared" si="32"/>
        <v>0</v>
      </c>
      <c r="AV23" s="253">
        <f>VLOOKUP(B23,[17]AKSoftSalesReport!$A:$B,2,0)</f>
        <v>749560.5</v>
      </c>
      <c r="AW23" s="28">
        <f t="shared" si="14"/>
        <v>1235359.5</v>
      </c>
      <c r="AX23" s="28">
        <f>VLOOKUP(B23,[18]AKSoftSalesReport!$A:$B,2,0)</f>
        <v>339060</v>
      </c>
      <c r="AY23" s="79">
        <f t="shared" si="15"/>
        <v>1574419.5</v>
      </c>
      <c r="AZ23" s="28">
        <v>339060</v>
      </c>
      <c r="BA23" s="28">
        <f t="shared" si="16"/>
        <v>918164</v>
      </c>
      <c r="BB23" s="28">
        <f>VLOOKUP(B23,[19]AKSoftSalesReport!$A:$B,2,0)</f>
        <v>583383</v>
      </c>
      <c r="BC23" s="28">
        <f t="shared" si="17"/>
        <v>1501547</v>
      </c>
    </row>
    <row r="24" spans="1:55" x14ac:dyDescent="0.3">
      <c r="A24" s="239">
        <v>21</v>
      </c>
      <c r="B24" s="89" t="s">
        <v>151</v>
      </c>
      <c r="C24" s="70">
        <f>VLOOKUP(B24,[3]AKSoftSalesReport!$B$2:$C$87,2,0)</f>
        <v>2389420.1099999947</v>
      </c>
      <c r="D24" s="7">
        <f t="shared" si="18"/>
        <v>6.4191034786707457E-2</v>
      </c>
      <c r="E24" s="85">
        <f t="shared" si="1"/>
        <v>3225599.4980320497</v>
      </c>
      <c r="F24" s="70">
        <f>VLOOKUP(B24,[4]AKSoftSalesReport!$B$2:$C$87,2,0)</f>
        <v>2221304.02</v>
      </c>
      <c r="G24" s="7">
        <f t="shared" si="19"/>
        <v>5.9674647845695684E-2</v>
      </c>
      <c r="H24" s="85">
        <f t="shared" si="2"/>
        <v>2998651.0542462082</v>
      </c>
      <c r="I24" s="70">
        <f>VLOOKUP(B24,[5]AKSoftSalesReport!$B$2:$C$87,2,0)</f>
        <v>1935226</v>
      </c>
      <c r="J24" s="7">
        <f t="shared" si="20"/>
        <v>5.1989250013527763E-2</v>
      </c>
      <c r="K24" s="85">
        <f t="shared" si="3"/>
        <v>2612459.81317977</v>
      </c>
      <c r="L24" s="6">
        <f>VLOOKUP(B24,[6]AKSoftSalesReport!$B$2:$C$87,2,0)</f>
        <v>2646895.1599999992</v>
      </c>
      <c r="M24" s="7">
        <f t="shared" si="21"/>
        <v>7.1108022645849395E-2</v>
      </c>
      <c r="N24" s="85">
        <f t="shared" si="4"/>
        <v>3573178.1379539319</v>
      </c>
      <c r="O24" s="6">
        <f>VLOOKUP(B24,[7]AKSoftSalesReport!$B$2:$C$89,2,0)</f>
        <v>3164363.8699999908</v>
      </c>
      <c r="P24" s="7">
        <f t="shared" si="22"/>
        <v>8.5009660045495344E-2</v>
      </c>
      <c r="Q24" s="85">
        <f t="shared" si="5"/>
        <v>4271735.4172861408</v>
      </c>
      <c r="R24" s="6">
        <f>VLOOKUP(B24,[8]AKSoftSalesReport!$B$2:$C$93,2,0)</f>
        <v>3255713.9499999881</v>
      </c>
      <c r="S24" s="7">
        <f t="shared" si="23"/>
        <v>8.7463751788721011E-2</v>
      </c>
      <c r="T24" s="85">
        <f t="shared" si="6"/>
        <v>4395053.5273832306</v>
      </c>
      <c r="U24" s="71">
        <f>VLOOKUP(B24,[9]AKSoftSalesReport!$B$2:$C$94,2,0)</f>
        <v>3598842.3499999982</v>
      </c>
      <c r="V24" s="7">
        <f t="shared" si="24"/>
        <v>9.6681790495488223E-2</v>
      </c>
      <c r="W24" s="85">
        <f t="shared" si="7"/>
        <v>4858259.972398283</v>
      </c>
      <c r="X24" s="71">
        <v>3666037.5599999898</v>
      </c>
      <c r="Y24" s="7">
        <f t="shared" si="25"/>
        <v>9.8486969101191674E-2</v>
      </c>
      <c r="Z24" s="85">
        <f t="shared" si="8"/>
        <v>4948970.1973348819</v>
      </c>
      <c r="AA24" s="71">
        <v>3561620.47</v>
      </c>
      <c r="AB24" s="7">
        <f t="shared" si="26"/>
        <v>9.5681836161837563E-2</v>
      </c>
      <c r="AC24" s="85">
        <f t="shared" si="9"/>
        <v>4808012.2671323372</v>
      </c>
      <c r="AD24" s="51">
        <v>3820209.3799999799</v>
      </c>
      <c r="AE24" s="7">
        <f t="shared" si="27"/>
        <v>0.10262874752656426</v>
      </c>
      <c r="AF24" s="85">
        <f t="shared" si="10"/>
        <v>5157094.5632098541</v>
      </c>
      <c r="AG24" s="154">
        <v>3541983.01</v>
      </c>
      <c r="AH24" s="7">
        <f t="shared" si="28"/>
        <v>9.5154281851606778E-2</v>
      </c>
      <c r="AI24" s="85">
        <f t="shared" si="11"/>
        <v>4781502.663043241</v>
      </c>
      <c r="AJ24" s="104">
        <v>3421963.9850000003</v>
      </c>
      <c r="AK24" s="7">
        <f t="shared" si="29"/>
        <v>9.1930007737314801E-2</v>
      </c>
      <c r="AL24" s="85">
        <f t="shared" si="12"/>
        <v>4619482.8888000688</v>
      </c>
      <c r="AM24" s="6">
        <f t="shared" si="13"/>
        <v>37223579.864999942</v>
      </c>
      <c r="AN24" s="155"/>
      <c r="AO24" s="73">
        <v>37223579.864999942</v>
      </c>
      <c r="AP24" s="87">
        <f t="shared" si="30"/>
        <v>50251832.817749918</v>
      </c>
      <c r="AQ24" s="237">
        <v>0.35</v>
      </c>
      <c r="AR24" s="3">
        <v>50250000</v>
      </c>
      <c r="AS24" s="240">
        <f t="shared" si="31"/>
        <v>50249999.999999993</v>
      </c>
      <c r="AT24" s="31">
        <f t="shared" si="32"/>
        <v>0</v>
      </c>
      <c r="AV24" s="253">
        <v>781967</v>
      </c>
      <c r="AW24" s="28">
        <f t="shared" si="14"/>
        <v>1439337.02</v>
      </c>
      <c r="AX24" s="28">
        <v>618714</v>
      </c>
      <c r="AY24" s="79">
        <f t="shared" si="15"/>
        <v>2058051.02</v>
      </c>
      <c r="AZ24" s="28">
        <v>618714</v>
      </c>
      <c r="BA24" s="28">
        <f t="shared" si="16"/>
        <v>1316512</v>
      </c>
      <c r="BB24" s="28">
        <v>798163.5</v>
      </c>
      <c r="BC24" s="28">
        <f t="shared" si="17"/>
        <v>2114675.5</v>
      </c>
    </row>
    <row r="25" spans="1:55" x14ac:dyDescent="0.3">
      <c r="A25" s="61">
        <v>22</v>
      </c>
      <c r="B25" s="106" t="s">
        <v>230</v>
      </c>
      <c r="C25" s="70">
        <v>0</v>
      </c>
      <c r="D25" s="7">
        <f t="shared" si="18"/>
        <v>0</v>
      </c>
      <c r="E25" s="85">
        <f t="shared" si="1"/>
        <v>0</v>
      </c>
      <c r="F25" s="70">
        <v>0</v>
      </c>
      <c r="G25" s="7">
        <f t="shared" si="19"/>
        <v>0</v>
      </c>
      <c r="H25" s="85">
        <f t="shared" si="2"/>
        <v>0</v>
      </c>
      <c r="I25" s="70">
        <v>0</v>
      </c>
      <c r="J25" s="7">
        <f t="shared" si="20"/>
        <v>0</v>
      </c>
      <c r="K25" s="85">
        <f t="shared" si="3"/>
        <v>0</v>
      </c>
      <c r="L25" s="6">
        <v>0</v>
      </c>
      <c r="M25" s="7">
        <f t="shared" si="21"/>
        <v>0</v>
      </c>
      <c r="N25" s="85">
        <f t="shared" si="4"/>
        <v>0</v>
      </c>
      <c r="O25" s="6">
        <f>VLOOKUP(B25,[7]AKSoftSalesReport!$B$2:$C$89,2,0)</f>
        <v>78228</v>
      </c>
      <c r="P25" s="7">
        <f t="shared" si="22"/>
        <v>6.5737815126050416E-3</v>
      </c>
      <c r="Q25" s="85">
        <f t="shared" si="5"/>
        <v>105607.79999999999</v>
      </c>
      <c r="R25" s="6">
        <f>VLOOKUP(B25,[8]AKSoftSalesReport!$B$2:$C$93,2,0)</f>
        <v>846010</v>
      </c>
      <c r="S25" s="7">
        <f t="shared" si="23"/>
        <v>7.1093277310924366E-2</v>
      </c>
      <c r="T25" s="85">
        <f t="shared" si="6"/>
        <v>1142113.5</v>
      </c>
      <c r="U25" s="71">
        <f>VLOOKUP(B25,[9]AKSoftSalesReport!$B$2:$C$94,2,0)</f>
        <v>893702.5</v>
      </c>
      <c r="V25" s="7">
        <f t="shared" si="24"/>
        <v>7.510105042016807E-2</v>
      </c>
      <c r="W25" s="85">
        <f t="shared" si="7"/>
        <v>1206498.375</v>
      </c>
      <c r="X25" s="71">
        <f>VLOOKUP(B25,[10]AKSoftSalesReport!$B$2:$C$94,2,0)</f>
        <v>957750.06</v>
      </c>
      <c r="Y25" s="7">
        <f t="shared" si="25"/>
        <v>8.0483198319327737E-2</v>
      </c>
      <c r="Z25" s="85">
        <f t="shared" si="8"/>
        <v>1292962.581</v>
      </c>
      <c r="AA25" s="71">
        <f>VLOOKUP(B25,[11]AKSoftSalesReport!$B$2:$C$94,2,0)</f>
        <v>1063491.03</v>
      </c>
      <c r="AB25" s="7">
        <f t="shared" si="26"/>
        <v>8.9368994117647066E-2</v>
      </c>
      <c r="AC25" s="85">
        <f t="shared" si="9"/>
        <v>1435712.8905000002</v>
      </c>
      <c r="AD25" s="51">
        <f>VLOOKUP(B25,[12]AKSoftSalesReport!$B$2:$C$89,2,0)</f>
        <v>1191090.0900000001</v>
      </c>
      <c r="AE25" s="7">
        <f t="shared" si="27"/>
        <v>0.10009160420168067</v>
      </c>
      <c r="AF25" s="85">
        <f t="shared" si="10"/>
        <v>1607971.6215000001</v>
      </c>
      <c r="AG25" s="154">
        <f>VLOOKUP(B25,[13]AKSoftSalesReport!$B$2:$C$90,2,0)</f>
        <v>1133942</v>
      </c>
      <c r="AH25" s="7">
        <f t="shared" si="28"/>
        <v>9.5289243697478987E-2</v>
      </c>
      <c r="AI25" s="85">
        <f t="shared" si="11"/>
        <v>1530821.7</v>
      </c>
      <c r="AJ25" s="104">
        <f>VLOOKUP(B25,[14]AKSoftSalesReport!$A:$D,4,0)</f>
        <v>1160241.472857143</v>
      </c>
      <c r="AK25" s="7">
        <f t="shared" si="29"/>
        <v>9.7499283433373357E-2</v>
      </c>
      <c r="AL25" s="85">
        <f t="shared" si="12"/>
        <v>1566325.988357143</v>
      </c>
      <c r="AM25" s="6">
        <f t="shared" si="13"/>
        <v>7324455.1528571434</v>
      </c>
      <c r="AN25" s="155">
        <f>AM25/220</f>
        <v>33292.977967532468</v>
      </c>
      <c r="AO25" s="224">
        <v>11900000</v>
      </c>
      <c r="AP25" s="87">
        <f t="shared" si="30"/>
        <v>16065000</v>
      </c>
      <c r="AQ25" s="237">
        <v>0.35</v>
      </c>
      <c r="AR25" s="3">
        <v>16065000</v>
      </c>
      <c r="AS25" s="240">
        <f t="shared" si="31"/>
        <v>9888014.4563571438</v>
      </c>
      <c r="AT25" s="31">
        <f t="shared" si="32"/>
        <v>-6176985.5436428562</v>
      </c>
      <c r="AV25" s="253">
        <v>0</v>
      </c>
      <c r="AW25" s="28">
        <f t="shared" si="14"/>
        <v>0</v>
      </c>
      <c r="AX25" s="28">
        <v>0</v>
      </c>
      <c r="AY25" s="79">
        <f t="shared" si="15"/>
        <v>0</v>
      </c>
      <c r="AZ25" s="28">
        <v>0</v>
      </c>
      <c r="BA25" s="28">
        <f t="shared" si="16"/>
        <v>0</v>
      </c>
      <c r="BB25" s="28">
        <v>0</v>
      </c>
      <c r="BC25" s="28">
        <f t="shared" si="17"/>
        <v>0</v>
      </c>
    </row>
    <row r="26" spans="1:55" ht="15.75" customHeight="1" x14ac:dyDescent="0.3">
      <c r="A26" s="239">
        <v>23</v>
      </c>
      <c r="B26" s="89" t="s">
        <v>79</v>
      </c>
      <c r="C26" s="70">
        <f>VLOOKUP(B26,[3]AKSoftSalesReport!$B$2:$C$87,2,0)</f>
        <v>1468704.730000003</v>
      </c>
      <c r="D26" s="7">
        <f t="shared" si="18"/>
        <v>7.6144606254405944E-2</v>
      </c>
      <c r="E26" s="85">
        <f t="shared" si="1"/>
        <v>1909326.0018292291</v>
      </c>
      <c r="F26" s="70">
        <f>VLOOKUP(B26,[4]AKSoftSalesReport!$B$2:$C$87,2,0)</f>
        <v>1399531.52</v>
      </c>
      <c r="G26" s="7">
        <f t="shared" si="19"/>
        <v>7.2558339572468072E-2</v>
      </c>
      <c r="H26" s="85">
        <f t="shared" si="2"/>
        <v>1819400.364779637</v>
      </c>
      <c r="I26" s="70">
        <f>VLOOKUP(B26,[5]AKSoftSalesReport!$B$2:$C$87,2,0)</f>
        <v>858578.5</v>
      </c>
      <c r="J26" s="7">
        <f t="shared" si="20"/>
        <v>4.4512774069297337E-2</v>
      </c>
      <c r="K26" s="85">
        <f t="shared" si="3"/>
        <v>1116157.8097876308</v>
      </c>
      <c r="L26" s="6">
        <f>VLOOKUP(B26,[6]AKSoftSalesReport!$B$2:$C$87,2,0)</f>
        <v>1423109.08</v>
      </c>
      <c r="M26" s="7">
        <f t="shared" si="21"/>
        <v>7.3780711902296167E-2</v>
      </c>
      <c r="N26" s="85">
        <f t="shared" si="4"/>
        <v>1850051.3509500765</v>
      </c>
      <c r="O26" s="6">
        <f>VLOOKUP(B26,[7]AKSoftSalesReport!$B$2:$C$89,2,0)</f>
        <v>1726928.060000001</v>
      </c>
      <c r="P26" s="7">
        <f t="shared" si="22"/>
        <v>8.9532126146543378E-2</v>
      </c>
      <c r="Q26" s="85">
        <f t="shared" si="5"/>
        <v>2245018.0631245752</v>
      </c>
      <c r="R26" s="6">
        <f>VLOOKUP(B26,[8]AKSoftSalesReport!$B$2:$C$93,2,0)</f>
        <v>1695597.460000003</v>
      </c>
      <c r="S26" s="7">
        <f t="shared" si="23"/>
        <v>8.7907799519152355E-2</v>
      </c>
      <c r="T26" s="85">
        <f t="shared" si="6"/>
        <v>2204288.0729427454</v>
      </c>
      <c r="U26" s="71">
        <f>VLOOKUP(B26,[9]AKSoftSalesReport!$B$2:$C$94,2,0)</f>
        <v>1877375.5100000016</v>
      </c>
      <c r="V26" s="7">
        <f t="shared" si="24"/>
        <v>9.7332034193567549E-2</v>
      </c>
      <c r="W26" s="85">
        <f t="shared" si="7"/>
        <v>2440600.7574037062</v>
      </c>
      <c r="X26" s="71">
        <f>VLOOKUP(B26,[10]AKSoftSalesReport!$B$2:$C$94,2,0)</f>
        <v>1870355.300000001</v>
      </c>
      <c r="Y26" s="7">
        <f t="shared" si="25"/>
        <v>9.6968073272522992E-2</v>
      </c>
      <c r="Z26" s="85">
        <f t="shared" si="8"/>
        <v>2431474.437308514</v>
      </c>
      <c r="AA26" s="71">
        <f>VLOOKUP(B26,[11]AKSoftSalesReport!$B$2:$C$94,2,0)</f>
        <v>1788723.8600000006</v>
      </c>
      <c r="AB26" s="7">
        <f t="shared" si="26"/>
        <v>9.2735912968402376E-2</v>
      </c>
      <c r="AC26" s="85">
        <f t="shared" si="9"/>
        <v>2325353.0176826897</v>
      </c>
      <c r="AD26" s="51">
        <f>VLOOKUP(B26,[12]AKSoftSalesReport!$B$2:$C$89,2,0)</f>
        <v>1876568.3400000008</v>
      </c>
      <c r="AE26" s="7">
        <f t="shared" si="27"/>
        <v>9.7290186679513141E-2</v>
      </c>
      <c r="AF26" s="85">
        <f t="shared" si="10"/>
        <v>2439551.4309887919</v>
      </c>
      <c r="AG26" s="154">
        <f>VLOOKUP(B26,[13]AKSoftSalesReport!$B$2:$C$90,2,0)</f>
        <v>1731710</v>
      </c>
      <c r="AH26" s="7">
        <f t="shared" si="28"/>
        <v>8.9780044554508276E-2</v>
      </c>
      <c r="AI26" s="85">
        <f t="shared" si="11"/>
        <v>2251234.617204295</v>
      </c>
      <c r="AJ26" s="104">
        <f>VLOOKUP(B26,[14]AKSoftSalesReport!$A:$D,4,0)</f>
        <v>1571179.6428571427</v>
      </c>
      <c r="AK26" s="7">
        <f t="shared" si="29"/>
        <v>8.1457390867322288E-2</v>
      </c>
      <c r="AL26" s="85">
        <f t="shared" si="12"/>
        <v>2042544.0759981063</v>
      </c>
      <c r="AM26" s="6">
        <f t="shared" si="13"/>
        <v>19288362.002857156</v>
      </c>
      <c r="AN26" s="6"/>
      <c r="AO26" s="73">
        <v>19288362.002857156</v>
      </c>
      <c r="AP26" s="87">
        <f t="shared" si="30"/>
        <v>25074870.603714302</v>
      </c>
      <c r="AQ26" s="237">
        <v>0.3</v>
      </c>
      <c r="AR26" s="3">
        <v>25075000</v>
      </c>
      <c r="AS26" s="240">
        <f t="shared" si="31"/>
        <v>25074999.999999993</v>
      </c>
      <c r="AT26" s="31">
        <f t="shared" si="32"/>
        <v>0</v>
      </c>
      <c r="AV26" s="253">
        <f>VLOOKUP(B26,[17]AKSoftSalesReport!$A:$B,2,0)</f>
        <v>455320.5</v>
      </c>
      <c r="AW26" s="28">
        <f t="shared" si="14"/>
        <v>944211.02</v>
      </c>
      <c r="AX26" s="28">
        <f>VLOOKUP(B26,[18]AKSoftSalesReport!$A:$B,2,0)</f>
        <v>272249.5</v>
      </c>
      <c r="AY26" s="79">
        <f t="shared" si="15"/>
        <v>1216460.52</v>
      </c>
      <c r="AZ26" s="28">
        <v>272249.5</v>
      </c>
      <c r="BA26" s="28">
        <f t="shared" si="16"/>
        <v>586329</v>
      </c>
      <c r="BB26" s="28">
        <f>VLOOKUP(B26,[19]AKSoftSalesReport!$A:$B,2,0)</f>
        <v>398421</v>
      </c>
      <c r="BC26" s="28">
        <f t="shared" si="17"/>
        <v>984750</v>
      </c>
    </row>
    <row r="27" spans="1:55" x14ac:dyDescent="0.3">
      <c r="A27" s="61">
        <v>24</v>
      </c>
      <c r="B27" s="90" t="s">
        <v>16</v>
      </c>
      <c r="C27" s="70">
        <f>VLOOKUP(B27,[3]AKSoftSalesReport!$B$2:$C$87,2,0)</f>
        <v>261670.8</v>
      </c>
      <c r="D27" s="7">
        <f t="shared" si="18"/>
        <v>7.4114879759002827E-2</v>
      </c>
      <c r="E27" s="85">
        <f t="shared" si="1"/>
        <v>300906.4118215515</v>
      </c>
      <c r="F27" s="70">
        <f>VLOOKUP(B27,[4]AKSoftSalesReport!$B$2:$C$87,2,0)</f>
        <v>223460</v>
      </c>
      <c r="G27" s="7">
        <f t="shared" si="19"/>
        <v>6.3292163401291901E-2</v>
      </c>
      <c r="H27" s="85">
        <f t="shared" si="2"/>
        <v>256966.18340924513</v>
      </c>
      <c r="I27" s="70">
        <f>VLOOKUP(B27,[5]AKSoftSalesReport!$B$2:$C$87,2,0)</f>
        <v>158470</v>
      </c>
      <c r="J27" s="7">
        <f t="shared" si="20"/>
        <v>4.4884583971192729E-2</v>
      </c>
      <c r="K27" s="85">
        <f t="shared" si="3"/>
        <v>182231.41092304248</v>
      </c>
      <c r="L27" s="6">
        <f>VLOOKUP(B27,[6]AKSoftSalesReport!$B$2:$C$87,2,0)</f>
        <v>228858</v>
      </c>
      <c r="M27" s="7">
        <f t="shared" si="21"/>
        <v>6.4821077292100876E-2</v>
      </c>
      <c r="N27" s="85">
        <f t="shared" si="4"/>
        <v>263173.57380592957</v>
      </c>
      <c r="O27" s="6">
        <f>VLOOKUP(B27,[7]AKSoftSalesReport!$B$2:$C$89,2,0)</f>
        <v>229692</v>
      </c>
      <c r="P27" s="7">
        <f t="shared" si="22"/>
        <v>6.5057297037364806E-2</v>
      </c>
      <c r="Q27" s="85">
        <f t="shared" si="5"/>
        <v>264132.62597170111</v>
      </c>
      <c r="R27" s="6">
        <f>VLOOKUP(B27,[8]AKSoftSalesReport!$B$2:$C$93,2,0)</f>
        <v>236926.22000000009</v>
      </c>
      <c r="S27" s="7">
        <f t="shared" si="23"/>
        <v>6.710629656444303E-2</v>
      </c>
      <c r="T27" s="85">
        <f t="shared" si="6"/>
        <v>272451.56405163871</v>
      </c>
      <c r="U27" s="71">
        <f>VLOOKUP(B27,[9]AKSoftSalesReport!$B$2:$C$94,2,0)</f>
        <v>274142.20000000007</v>
      </c>
      <c r="V27" s="7">
        <f t="shared" si="24"/>
        <v>7.7647242985722939E-2</v>
      </c>
      <c r="W27" s="85">
        <f t="shared" si="7"/>
        <v>315247.80652203516</v>
      </c>
      <c r="X27" s="71">
        <f>VLOOKUP(B27,[10]AKSoftSalesReport!$B$2:$C$94,2,0)</f>
        <v>304671.10000000003</v>
      </c>
      <c r="Y27" s="7">
        <f t="shared" si="25"/>
        <v>8.6294160229353559E-2</v>
      </c>
      <c r="Z27" s="85">
        <f t="shared" si="8"/>
        <v>350354.29053117544</v>
      </c>
      <c r="AA27" s="71">
        <f>VLOOKUP(B27,[11]AKSoftSalesReport!$B$2:$C$94,2,0)</f>
        <v>325535.06</v>
      </c>
      <c r="AB27" s="7">
        <f t="shared" si="26"/>
        <v>9.2203607850932429E-2</v>
      </c>
      <c r="AC27" s="85">
        <f t="shared" si="9"/>
        <v>374346.64787478565</v>
      </c>
      <c r="AD27" s="51">
        <f>VLOOKUP(B27,[12]AKSoftSalesReport!$B$2:$C$89,2,0)</f>
        <v>371823.06000000006</v>
      </c>
      <c r="AE27" s="7">
        <f t="shared" si="27"/>
        <v>0.10531408695018511</v>
      </c>
      <c r="AF27" s="85">
        <f t="shared" si="10"/>
        <v>427575.19301775156</v>
      </c>
      <c r="AG27" s="154">
        <f>VLOOKUP(B27,[13]AKSoftSalesReport!$B$2:$C$90,2,0)</f>
        <v>385103</v>
      </c>
      <c r="AH27" s="7">
        <f t="shared" si="28"/>
        <v>0.10907545870548516</v>
      </c>
      <c r="AI27" s="85">
        <f t="shared" si="11"/>
        <v>442846.36234426976</v>
      </c>
      <c r="AJ27" s="104">
        <f>VLOOKUP(B27,[14]AKSoftSalesReport!$A:$D,4,0)</f>
        <v>530259.42857142864</v>
      </c>
      <c r="AK27" s="7">
        <f t="shared" si="29"/>
        <v>0.15018914525292459</v>
      </c>
      <c r="AL27" s="85">
        <f t="shared" si="12"/>
        <v>609767.92972687387</v>
      </c>
      <c r="AM27" s="6">
        <f t="shared" si="13"/>
        <v>3530610.868571429</v>
      </c>
      <c r="AN27" s="6"/>
      <c r="AO27" s="73">
        <v>3530610.868571429</v>
      </c>
      <c r="AP27" s="87">
        <f t="shared" si="30"/>
        <v>4060202.4988571433</v>
      </c>
      <c r="AQ27" s="251">
        <v>0.15</v>
      </c>
      <c r="AR27" s="25">
        <v>4060000</v>
      </c>
      <c r="AS27" s="240">
        <f t="shared" si="31"/>
        <v>4060000</v>
      </c>
      <c r="AT27" s="31">
        <f t="shared" si="32"/>
        <v>0</v>
      </c>
      <c r="AV27" s="253">
        <f>VLOOKUP(B27,[17]AKSoftSalesReport!$A:$B,2,0)</f>
        <v>71674.5</v>
      </c>
      <c r="AW27" s="28">
        <f t="shared" si="14"/>
        <v>151785.5</v>
      </c>
      <c r="AX27" s="28">
        <f>VLOOKUP(B27,[18]AKSoftSalesReport!$A:$B,2,0)</f>
        <v>53310</v>
      </c>
      <c r="AY27" s="79">
        <f t="shared" si="15"/>
        <v>205095.5</v>
      </c>
      <c r="AZ27" s="28">
        <v>53310</v>
      </c>
      <c r="BA27" s="28">
        <f t="shared" si="16"/>
        <v>105160</v>
      </c>
      <c r="BB27" s="28">
        <f>VLOOKUP(B27,[19]AKSoftSalesReport!$A:$B,2,0)</f>
        <v>81480</v>
      </c>
      <c r="BC27" s="28">
        <f t="shared" si="17"/>
        <v>186640</v>
      </c>
    </row>
    <row r="28" spans="1:55" x14ac:dyDescent="0.3">
      <c r="A28" s="239">
        <v>25</v>
      </c>
      <c r="B28" s="89" t="s">
        <v>71</v>
      </c>
      <c r="C28" s="70">
        <f>VLOOKUP(B28,[3]AKSoftSalesReport!$B$2:$C$87,2,0)</f>
        <v>1283407</v>
      </c>
      <c r="D28" s="7">
        <f t="shared" si="18"/>
        <v>4.8567442086647115E-2</v>
      </c>
      <c r="E28" s="85">
        <f t="shared" si="1"/>
        <v>1347746.5179044574</v>
      </c>
      <c r="F28" s="70">
        <f>VLOOKUP(B28,[4]AKSoftSalesReport!$B$2:$C$87,2,0)</f>
        <v>1178067</v>
      </c>
      <c r="G28" s="7">
        <f t="shared" si="19"/>
        <v>4.4581103887301618E-2</v>
      </c>
      <c r="H28" s="85">
        <f t="shared" si="2"/>
        <v>1237125.6328726199</v>
      </c>
      <c r="I28" s="70">
        <f>VLOOKUP(B28,[5]AKSoftSalesReport!$B$2:$C$87,2,0)</f>
        <v>991623</v>
      </c>
      <c r="J28" s="7">
        <f t="shared" si="20"/>
        <v>3.7525580446644967E-2</v>
      </c>
      <c r="K28" s="85">
        <f t="shared" si="3"/>
        <v>1041334.8573943978</v>
      </c>
      <c r="L28" s="6">
        <f>VLOOKUP(B28,[6]AKSoftSalesReport!$B$2:$C$87,2,0)</f>
        <v>1221220</v>
      </c>
      <c r="M28" s="7">
        <f t="shared" si="21"/>
        <v>4.6214125078837182E-2</v>
      </c>
      <c r="N28" s="85">
        <f t="shared" si="4"/>
        <v>1282441.9709377317</v>
      </c>
      <c r="O28" s="6">
        <f>VLOOKUP(B28,[7]AKSoftSalesReport!$B$2:$C$89,2,0)</f>
        <v>1429231</v>
      </c>
      <c r="P28" s="7">
        <f t="shared" si="22"/>
        <v>5.4085799610677478E-2</v>
      </c>
      <c r="Q28" s="85">
        <f t="shared" si="5"/>
        <v>1500880.9391963</v>
      </c>
      <c r="R28" s="6">
        <f>VLOOKUP(B28,[8]AKSoftSalesReport!$B$2:$C$93,2,0)</f>
        <v>1668803</v>
      </c>
      <c r="S28" s="7">
        <f t="shared" si="23"/>
        <v>6.3151824056221426E-2</v>
      </c>
      <c r="T28" s="85">
        <f t="shared" si="6"/>
        <v>1752463.1175601445</v>
      </c>
      <c r="U28" s="71">
        <f>VLOOKUP(B28,[9]AKSoftSalesReport!$B$2:$C$94,2,0)</f>
        <v>1428611</v>
      </c>
      <c r="V28" s="7">
        <f t="shared" si="24"/>
        <v>5.406233720623857E-2</v>
      </c>
      <c r="W28" s="85">
        <f t="shared" si="7"/>
        <v>1500229.8574731203</v>
      </c>
      <c r="X28" s="71">
        <f>VLOOKUP(B28,[10]AKSoftSalesReport!$B$2:$C$94,2,0)</f>
        <v>2054314</v>
      </c>
      <c r="Y28" s="7">
        <f t="shared" si="25"/>
        <v>7.7740557923393266E-2</v>
      </c>
      <c r="Z28" s="85">
        <f t="shared" si="8"/>
        <v>2157300.4823741633</v>
      </c>
      <c r="AA28" s="71">
        <f>VLOOKUP(B28,[11]AKSoftSalesReport!$B$2:$C$94,2,0)</f>
        <v>2461992.71</v>
      </c>
      <c r="AB28" s="7">
        <f t="shared" si="26"/>
        <v>9.316817530266891E-2</v>
      </c>
      <c r="AC28" s="85">
        <f t="shared" si="9"/>
        <v>2585416.864649062</v>
      </c>
      <c r="AD28" s="51">
        <f>VLOOKUP(B28,[12]AKSoftSalesReport!$B$2:$C$89,2,0)</f>
        <v>3437293</v>
      </c>
      <c r="AE28" s="7">
        <f t="shared" si="27"/>
        <v>0.13007606216292847</v>
      </c>
      <c r="AF28" s="85">
        <f t="shared" si="10"/>
        <v>3609610.725021265</v>
      </c>
      <c r="AG28" s="154">
        <f>VLOOKUP(B28,[13]AKSoftSalesReport!$B$2:$C$90,2,0)</f>
        <v>4586619</v>
      </c>
      <c r="AH28" s="7">
        <f t="shared" si="28"/>
        <v>0.17356953223413563</v>
      </c>
      <c r="AI28" s="85">
        <f t="shared" si="11"/>
        <v>4816554.5194972632</v>
      </c>
      <c r="AJ28" s="104">
        <f>VLOOKUP(B28,[14]AKSoftSalesReport!$A:$D,4,0)</f>
        <v>4684073.4285714291</v>
      </c>
      <c r="AK28" s="7">
        <f t="shared" si="29"/>
        <v>0.17725746000430534</v>
      </c>
      <c r="AL28" s="85">
        <f t="shared" si="12"/>
        <v>4918894.5151194734</v>
      </c>
      <c r="AM28" s="6">
        <f t="shared" si="13"/>
        <v>26425254.13857143</v>
      </c>
      <c r="AN28" s="6"/>
      <c r="AO28" s="73">
        <v>26425254.13857143</v>
      </c>
      <c r="AP28" s="87">
        <f t="shared" si="30"/>
        <v>27746516.8455</v>
      </c>
      <c r="AQ28" s="237">
        <v>0.05</v>
      </c>
      <c r="AR28" s="3">
        <v>27750000</v>
      </c>
      <c r="AS28" s="240">
        <f t="shared" si="31"/>
        <v>27750000</v>
      </c>
      <c r="AT28" s="31">
        <f t="shared" si="32"/>
        <v>0</v>
      </c>
      <c r="AV28" s="253">
        <f>VLOOKUP(B28,[17]AKSoftSalesReport!$A:$B,2,0)</f>
        <v>395222.5</v>
      </c>
      <c r="AW28" s="28">
        <f t="shared" si="14"/>
        <v>782844.5</v>
      </c>
      <c r="AX28" s="28">
        <f>VLOOKUP(B28,[18]AKSoftSalesReport!$A:$B,2,0)</f>
        <v>315003</v>
      </c>
      <c r="AY28" s="79">
        <f t="shared" si="15"/>
        <v>1097847.5</v>
      </c>
      <c r="AZ28" s="28">
        <v>315003</v>
      </c>
      <c r="BA28" s="28">
        <f t="shared" si="16"/>
        <v>676620</v>
      </c>
      <c r="BB28" s="28">
        <f>VLOOKUP(B28,[19]AKSoftSalesReport!$A:$B,2,0)</f>
        <v>283173</v>
      </c>
      <c r="BC28" s="28">
        <f t="shared" si="17"/>
        <v>959793</v>
      </c>
    </row>
    <row r="29" spans="1:55" x14ac:dyDescent="0.3">
      <c r="A29" s="61">
        <v>26</v>
      </c>
      <c r="B29" s="90" t="s">
        <v>74</v>
      </c>
      <c r="C29" s="70">
        <f>VLOOKUP(B29,[3]AKSoftSalesReport!$B$2:$C$87,2,0)</f>
        <v>565875.2200000002</v>
      </c>
      <c r="D29" s="7">
        <f t="shared" si="18"/>
        <v>8.1108641216542751E-2</v>
      </c>
      <c r="E29" s="85">
        <f t="shared" si="1"/>
        <v>650896.84576275561</v>
      </c>
      <c r="F29" s="70">
        <f>VLOOKUP(B29,[4]AKSoftSalesReport!$B$2:$C$87,2,0)</f>
        <v>609305.46</v>
      </c>
      <c r="G29" s="7">
        <f t="shared" si="19"/>
        <v>8.7333631514065091E-2</v>
      </c>
      <c r="H29" s="85">
        <f t="shared" si="2"/>
        <v>700852.39290037239</v>
      </c>
      <c r="I29" s="70">
        <f>VLOOKUP(B29,[5]AKSoftSalesReport!$B$2:$C$87,2,0)</f>
        <v>387766</v>
      </c>
      <c r="J29" s="7">
        <f t="shared" si="20"/>
        <v>5.5579697181251199E-2</v>
      </c>
      <c r="K29" s="85">
        <f t="shared" si="3"/>
        <v>446027.06987954088</v>
      </c>
      <c r="L29" s="6">
        <f>VLOOKUP(B29,[6]AKSoftSalesReport!$B$2:$C$87,2,0)</f>
        <v>581578.33000000007</v>
      </c>
      <c r="M29" s="7">
        <f t="shared" si="21"/>
        <v>8.335941642273377E-2</v>
      </c>
      <c r="N29" s="85">
        <f t="shared" si="4"/>
        <v>668959.31679243851</v>
      </c>
      <c r="O29" s="6">
        <f>VLOOKUP(B29,[7]AKSoftSalesReport!$B$2:$C$89,2,0)</f>
        <v>652404.13000000024</v>
      </c>
      <c r="P29" s="7">
        <f t="shared" si="22"/>
        <v>9.3511096860471668E-2</v>
      </c>
      <c r="Q29" s="85">
        <f t="shared" si="5"/>
        <v>750426.55230528512</v>
      </c>
      <c r="R29" s="6">
        <f>VLOOKUP(B29,[8]AKSoftSalesReport!$B$2:$C$93,2,0)</f>
        <v>591513.5700000003</v>
      </c>
      <c r="S29" s="7">
        <f t="shared" si="23"/>
        <v>8.478346502581674E-2</v>
      </c>
      <c r="T29" s="85">
        <f t="shared" si="6"/>
        <v>680387.30683217931</v>
      </c>
      <c r="U29" s="71">
        <f>VLOOKUP(B29,[9]AKSoftSalesReport!$B$2:$C$94,2,0)</f>
        <v>572200.27000000014</v>
      </c>
      <c r="V29" s="7">
        <f t="shared" si="24"/>
        <v>8.2015230148156842E-2</v>
      </c>
      <c r="W29" s="85">
        <f t="shared" si="7"/>
        <v>658172.22193895862</v>
      </c>
      <c r="X29" s="71">
        <f>VLOOKUP(B29,[10]AKSoftSalesReport!$B$2:$C$94,2,0)</f>
        <v>689190.07000000007</v>
      </c>
      <c r="Y29" s="7">
        <f t="shared" si="25"/>
        <v>9.8783739138875823E-2</v>
      </c>
      <c r="Z29" s="85">
        <f t="shared" si="8"/>
        <v>792739.50658947846</v>
      </c>
      <c r="AA29" s="71">
        <f>VLOOKUP(B29,[11]AKSoftSalesReport!$B$2:$C$94,2,0)</f>
        <v>616479</v>
      </c>
      <c r="AB29" s="7">
        <f t="shared" si="26"/>
        <v>8.836183713528406E-2</v>
      </c>
      <c r="AC29" s="85">
        <f t="shared" si="9"/>
        <v>709103.74301065458</v>
      </c>
      <c r="AD29" s="51">
        <f>VLOOKUP(B29,[12]AKSoftSalesReport!$B$2:$C$89,2,0)</f>
        <v>580114.09000000008</v>
      </c>
      <c r="AE29" s="7">
        <f t="shared" si="27"/>
        <v>8.3149542385812861E-2</v>
      </c>
      <c r="AF29" s="85">
        <f t="shared" si="10"/>
        <v>667275.07764614816</v>
      </c>
      <c r="AG29" s="154">
        <f>VLOOKUP(B29,[13]AKSoftSalesReport!$B$2:$C$90,2,0)</f>
        <v>555331</v>
      </c>
      <c r="AH29" s="7">
        <f t="shared" si="28"/>
        <v>7.9597305631131696E-2</v>
      </c>
      <c r="AI29" s="85">
        <f t="shared" si="11"/>
        <v>638768.37768983189</v>
      </c>
      <c r="AJ29" s="104">
        <f>VLOOKUP(B29,[14]AKSoftSalesReport!$A:$D,4,0)</f>
        <v>574999.11571428576</v>
      </c>
      <c r="AK29" s="7">
        <f t="shared" si="29"/>
        <v>8.2416397339857603E-2</v>
      </c>
      <c r="AL29" s="85">
        <f t="shared" si="12"/>
        <v>661391.58865235723</v>
      </c>
      <c r="AM29" s="6">
        <f t="shared" si="13"/>
        <v>6976756.2557142861</v>
      </c>
      <c r="AN29" s="6"/>
      <c r="AO29" s="73">
        <v>6976756.2557142861</v>
      </c>
      <c r="AP29" s="87">
        <f t="shared" si="30"/>
        <v>8023269.6940714289</v>
      </c>
      <c r="AQ29" s="237">
        <v>0.15</v>
      </c>
      <c r="AR29" s="3">
        <v>8025000</v>
      </c>
      <c r="AS29" s="240">
        <f t="shared" si="31"/>
        <v>8025000.0000000019</v>
      </c>
      <c r="AT29" s="31">
        <f>AS29-AR29</f>
        <v>0</v>
      </c>
      <c r="AV29" s="253">
        <f>VLOOKUP(B29,[17]AKSoftSalesReport!$A:$B,2,0)</f>
        <v>217203.5</v>
      </c>
      <c r="AW29" s="28">
        <f t="shared" si="14"/>
        <v>392101.95999999996</v>
      </c>
      <c r="AX29" s="28">
        <f>VLOOKUP(B29,[18]AKSoftSalesReport!$A:$B,2,0)</f>
        <v>102774</v>
      </c>
      <c r="AY29" s="79">
        <f t="shared" si="15"/>
        <v>494875.95999999996</v>
      </c>
      <c r="AZ29" s="28">
        <v>102774</v>
      </c>
      <c r="BA29" s="28">
        <f t="shared" si="16"/>
        <v>284992</v>
      </c>
      <c r="BB29" s="28">
        <f>VLOOKUP(B29,[19]AKSoftSalesReport!$A:$B,2,0)</f>
        <v>156297</v>
      </c>
      <c r="BC29" s="28">
        <f t="shared" si="17"/>
        <v>441289</v>
      </c>
    </row>
    <row r="30" spans="1:55" x14ac:dyDescent="0.3">
      <c r="A30" s="239">
        <v>27</v>
      </c>
      <c r="B30" s="89" t="s">
        <v>72</v>
      </c>
      <c r="C30" s="70">
        <f>VLOOKUP(B30,[3]AKSoftSalesReport!$B$2:$C$87,2,0)</f>
        <v>1416866.8400000038</v>
      </c>
      <c r="D30" s="7">
        <f t="shared" si="18"/>
        <v>7.4214565414824601E-2</v>
      </c>
      <c r="E30" s="85">
        <f t="shared" si="1"/>
        <v>1912880.4235671042</v>
      </c>
      <c r="F30" s="70">
        <f>VLOOKUP(B30,[4]AKSoftSalesReport!$B$2:$C$87,2,0)</f>
        <v>1401335.2100000002</v>
      </c>
      <c r="G30" s="7">
        <f t="shared" si="19"/>
        <v>7.340102871674356E-2</v>
      </c>
      <c r="H30" s="85">
        <f t="shared" si="2"/>
        <v>1891911.5151740653</v>
      </c>
      <c r="I30" s="70">
        <f>VLOOKUP(B30,[5]AKSoftSalesReport!$B$2:$C$87,2,0)</f>
        <v>1292501.5</v>
      </c>
      <c r="J30" s="7">
        <f t="shared" si="20"/>
        <v>6.7700389629069643E-2</v>
      </c>
      <c r="K30" s="85">
        <f t="shared" si="3"/>
        <v>1744977.5426892701</v>
      </c>
      <c r="L30" s="6">
        <f>VLOOKUP(B30,[6]AKSoftSalesReport!$B$2:$C$87,2,0)</f>
        <v>1544889.4500000004</v>
      </c>
      <c r="M30" s="7">
        <f t="shared" si="21"/>
        <v>8.092030662930691E-2</v>
      </c>
      <c r="N30" s="85">
        <f t="shared" si="4"/>
        <v>2085720.9033703855</v>
      </c>
      <c r="O30" s="6">
        <f>VLOOKUP(B30,[7]AKSoftSalesReport!$B$2:$C$89,2,0)</f>
        <v>1624264.2500000026</v>
      </c>
      <c r="P30" s="7">
        <f t="shared" si="22"/>
        <v>8.5077907132462702E-2</v>
      </c>
      <c r="Q30" s="85">
        <f t="shared" si="5"/>
        <v>2192883.0563392262</v>
      </c>
      <c r="R30" s="6">
        <f>VLOOKUP(B30,[8]AKSoftSalesReport!$B$2:$C$93,2,0)</f>
        <v>1665692.04</v>
      </c>
      <c r="S30" s="7">
        <f t="shared" si="23"/>
        <v>8.7247867882582611E-2</v>
      </c>
      <c r="T30" s="85">
        <f t="shared" si="6"/>
        <v>2248813.7946735667</v>
      </c>
      <c r="U30" s="71">
        <f>VLOOKUP(B30,[9]AKSoftSalesReport!$B$2:$C$94,2,0)</f>
        <v>1794865</v>
      </c>
      <c r="V30" s="7">
        <f t="shared" si="24"/>
        <v>9.4013863683392304E-2</v>
      </c>
      <c r="W30" s="85">
        <f t="shared" si="7"/>
        <v>2423207.3364394368</v>
      </c>
      <c r="X30" s="71">
        <f>VLOOKUP(B30,[10]AKSoftSalesReport!$B$2:$C$94,2,0)</f>
        <v>1761164.1</v>
      </c>
      <c r="Y30" s="7">
        <f t="shared" si="25"/>
        <v>9.2248632416078252E-2</v>
      </c>
      <c r="Z30" s="85">
        <f t="shared" si="8"/>
        <v>2377708.500524417</v>
      </c>
      <c r="AA30" s="71">
        <f>VLOOKUP(B30,[11]AKSoftSalesReport!$B$2:$C$94,2,0)</f>
        <v>1634722</v>
      </c>
      <c r="AB30" s="7">
        <f t="shared" si="26"/>
        <v>8.5625677289513383E-2</v>
      </c>
      <c r="AC30" s="85">
        <f t="shared" si="9"/>
        <v>2207001.8321372075</v>
      </c>
      <c r="AD30" s="51">
        <f>VLOOKUP(B30,[12]AKSoftSalesReport!$B$2:$C$89,2,0)</f>
        <v>1659916.5000000005</v>
      </c>
      <c r="AE30" s="7">
        <f t="shared" si="27"/>
        <v>8.6945348846188264E-2</v>
      </c>
      <c r="AF30" s="85">
        <f t="shared" si="10"/>
        <v>2241016.3665105025</v>
      </c>
      <c r="AG30" s="154">
        <f>VLOOKUP(B30,[13]AKSoftSalesReport!$B$2:$C$90,2,0)</f>
        <v>1588262</v>
      </c>
      <c r="AH30" s="7">
        <f t="shared" si="28"/>
        <v>8.3192132645916003E-2</v>
      </c>
      <c r="AI30" s="85">
        <f t="shared" si="11"/>
        <v>2144277.2189484849</v>
      </c>
      <c r="AJ30" s="104">
        <f>VLOOKUP(B30,[14]AKSoftSalesReport!$A:$D,4,0)</f>
        <v>1707013.8928571437</v>
      </c>
      <c r="AK30" s="7">
        <f t="shared" si="29"/>
        <v>8.9412279713921849E-2</v>
      </c>
      <c r="AL30" s="85">
        <f t="shared" si="12"/>
        <v>2304601.5096263355</v>
      </c>
      <c r="AM30" s="6">
        <f t="shared" si="13"/>
        <v>19091492.78285715</v>
      </c>
      <c r="AN30" s="6"/>
      <c r="AO30" s="73">
        <v>19091492.78285715</v>
      </c>
      <c r="AP30" s="87">
        <f t="shared" si="30"/>
        <v>25773515.256857153</v>
      </c>
      <c r="AQ30" s="237">
        <v>0.35</v>
      </c>
      <c r="AR30" s="3">
        <v>25775000</v>
      </c>
      <c r="AS30" s="240">
        <f t="shared" si="31"/>
        <v>25775000.000000004</v>
      </c>
      <c r="AT30" s="31">
        <f t="shared" si="32"/>
        <v>0</v>
      </c>
      <c r="AV30" s="253">
        <f>VLOOKUP(B30,[17]AKSoftSalesReport!$A:$B,2,0)</f>
        <v>518042.84</v>
      </c>
      <c r="AW30" s="28">
        <f t="shared" si="14"/>
        <v>883292.37000000011</v>
      </c>
      <c r="AX30" s="28">
        <f>VLOOKUP(B30,[18]AKSoftSalesReport!$A:$B,2,0)</f>
        <v>359311.5</v>
      </c>
      <c r="AY30" s="79">
        <f t="shared" si="15"/>
        <v>1242603.8700000001</v>
      </c>
      <c r="AZ30" s="28">
        <v>359311.5</v>
      </c>
      <c r="BA30" s="28">
        <f t="shared" si="16"/>
        <v>933190</v>
      </c>
      <c r="BB30" s="28">
        <f>VLOOKUP(B30,[19]AKSoftSalesReport!$A:$B,2,0)</f>
        <v>534338</v>
      </c>
      <c r="BC30" s="28">
        <f t="shared" si="17"/>
        <v>1467528</v>
      </c>
    </row>
    <row r="31" spans="1:55" x14ac:dyDescent="0.3">
      <c r="A31" s="61">
        <v>28</v>
      </c>
      <c r="B31" s="90" t="s">
        <v>73</v>
      </c>
      <c r="C31" s="70">
        <f>VLOOKUP(B31,[3]AKSoftSalesReport!$B$2:$C$87,2,0)</f>
        <v>1089730.5200000016</v>
      </c>
      <c r="D31" s="7">
        <f t="shared" si="18"/>
        <v>7.3455416401955922E-2</v>
      </c>
      <c r="E31" s="85">
        <f t="shared" si="1"/>
        <v>1253149.403817368</v>
      </c>
      <c r="F31" s="70">
        <f>VLOOKUP(B31,[4]AKSoftSalesReport!$B$2:$C$87,2,0)</f>
        <v>1048922</v>
      </c>
      <c r="G31" s="7">
        <f t="shared" si="19"/>
        <v>7.0704638320281496E-2</v>
      </c>
      <c r="H31" s="85">
        <f t="shared" si="2"/>
        <v>1206221.1297440024</v>
      </c>
      <c r="I31" s="70">
        <f>VLOOKUP(B31,[5]AKSoftSalesReport!$B$2:$C$87,2,0)</f>
        <v>857824</v>
      </c>
      <c r="J31" s="7">
        <f t="shared" si="20"/>
        <v>5.7823303984907516E-2</v>
      </c>
      <c r="K31" s="85">
        <f t="shared" si="3"/>
        <v>986465.56598252221</v>
      </c>
      <c r="L31" s="6">
        <f>VLOOKUP(B31,[6]AKSoftSalesReport!$B$2:$C$87,2,0)</f>
        <v>1263266</v>
      </c>
      <c r="M31" s="7">
        <f t="shared" si="21"/>
        <v>8.5152914737519791E-2</v>
      </c>
      <c r="N31" s="85">
        <f t="shared" si="4"/>
        <v>1452708.7254220876</v>
      </c>
      <c r="O31" s="6">
        <f>VLOOKUP(B31,[7]AKSoftSalesReport!$B$2:$C$89,2,0)</f>
        <v>1207585.5000000002</v>
      </c>
      <c r="P31" s="7">
        <f t="shared" si="22"/>
        <v>8.1399661765428039E-2</v>
      </c>
      <c r="Q31" s="85">
        <f t="shared" si="5"/>
        <v>1388678.2297182023</v>
      </c>
      <c r="R31" s="6">
        <f>VLOOKUP(B31,[8]AKSoftSalesReport!$B$2:$C$93,2,0)</f>
        <v>1326489.0900000017</v>
      </c>
      <c r="S31" s="7">
        <f t="shared" si="23"/>
        <v>8.9414590736250604E-2</v>
      </c>
      <c r="T31" s="85">
        <f t="shared" si="6"/>
        <v>1525412.9179604354</v>
      </c>
      <c r="U31" s="71">
        <f>VLOOKUP(B31,[9]AKSoftSalesReport!$B$2:$C$94,2,0)</f>
        <v>1388282.7600000007</v>
      </c>
      <c r="V31" s="7">
        <f t="shared" si="24"/>
        <v>9.357991388500024E-2</v>
      </c>
      <c r="W31" s="85">
        <f t="shared" si="7"/>
        <v>1596473.3308781041</v>
      </c>
      <c r="X31" s="71">
        <f>VLOOKUP(B31,[10]AKSoftSalesReport!$B$2:$C$94,2,0)</f>
        <v>1392239.5600000003</v>
      </c>
      <c r="Y31" s="7">
        <f t="shared" si="25"/>
        <v>9.3846629725554312E-2</v>
      </c>
      <c r="Z31" s="85">
        <f t="shared" si="8"/>
        <v>1601023.5031179565</v>
      </c>
      <c r="AA31" s="71">
        <f>VLOOKUP(B31,[11]AKSoftSalesReport!$B$2:$C$94,2,0)</f>
        <v>1408408.1</v>
      </c>
      <c r="AB31" s="7">
        <f t="shared" si="26"/>
        <v>9.4936501777877547E-2</v>
      </c>
      <c r="AC31" s="85">
        <f t="shared" si="9"/>
        <v>1619616.7203305908</v>
      </c>
      <c r="AD31" s="51">
        <f>VLOOKUP(B31,[12]AKSoftSalesReport!$B$2:$C$89,2,0)</f>
        <v>1357415.100000002</v>
      </c>
      <c r="AE31" s="7">
        <f t="shared" si="27"/>
        <v>9.1499218908545038E-2</v>
      </c>
      <c r="AF31" s="85">
        <f t="shared" si="10"/>
        <v>1560976.6745797785</v>
      </c>
      <c r="AG31" s="154">
        <f>VLOOKUP(B31,[13]AKSoftSalesReport!$B$2:$C$90,2,0)</f>
        <v>1271372</v>
      </c>
      <c r="AH31" s="7">
        <f t="shared" si="28"/>
        <v>8.5699315516819113E-2</v>
      </c>
      <c r="AI31" s="85">
        <f t="shared" si="11"/>
        <v>1462030.3227169341</v>
      </c>
      <c r="AJ31" s="104">
        <f>VLOOKUP(B31,[14]AKSoftSalesReport!$A:$D,4,0)</f>
        <v>1223729.7164285716</v>
      </c>
      <c r="AK31" s="7">
        <f t="shared" si="29"/>
        <v>8.2487894239860346E-2</v>
      </c>
      <c r="AL31" s="85">
        <f t="shared" si="12"/>
        <v>1407243.4757320175</v>
      </c>
      <c r="AM31" s="6">
        <f t="shared" si="13"/>
        <v>14835264.346428579</v>
      </c>
      <c r="AN31" s="6"/>
      <c r="AO31" s="73">
        <v>14835264.346428579</v>
      </c>
      <c r="AP31" s="87">
        <f t="shared" si="30"/>
        <v>17060553.998392865</v>
      </c>
      <c r="AQ31" s="237">
        <v>0.15</v>
      </c>
      <c r="AR31" s="1">
        <v>17060000</v>
      </c>
      <c r="AS31" s="240">
        <f t="shared" si="31"/>
        <v>17060000</v>
      </c>
      <c r="AT31" s="31">
        <f t="shared" si="32"/>
        <v>0</v>
      </c>
      <c r="AV31" s="253">
        <f>VLOOKUP(B31,[17]AKSoftSalesReport!$A:$B,2,0)</f>
        <v>382138.5</v>
      </c>
      <c r="AW31" s="28">
        <f t="shared" si="14"/>
        <v>666783.5</v>
      </c>
      <c r="AX31" s="28">
        <f>VLOOKUP(B31,[18]AKSoftSalesReport!$A:$B,2,0)</f>
        <v>246048</v>
      </c>
      <c r="AY31" s="79">
        <f t="shared" si="15"/>
        <v>912831.5</v>
      </c>
      <c r="AZ31" s="28">
        <v>246048</v>
      </c>
      <c r="BA31" s="28">
        <f t="shared" si="16"/>
        <v>611776</v>
      </c>
      <c r="BB31" s="28">
        <f>VLOOKUP(B31,[19]AKSoftSalesReport!$A:$B,2,0)</f>
        <v>456340</v>
      </c>
      <c r="BC31" s="28">
        <f t="shared" si="17"/>
        <v>1068116</v>
      </c>
    </row>
    <row r="32" spans="1:55" x14ac:dyDescent="0.3">
      <c r="A32" s="239">
        <v>29</v>
      </c>
      <c r="B32" s="102" t="s">
        <v>227</v>
      </c>
      <c r="C32" s="70">
        <f>VLOOKUP(B32,[3]AKSoftSalesReport!$B$2:$C$87,2,0)</f>
        <v>642171</v>
      </c>
      <c r="D32" s="7">
        <f t="shared" si="18"/>
        <v>9.194071052226524E-2</v>
      </c>
      <c r="E32" s="85">
        <f t="shared" si="1"/>
        <v>867000.90022496122</v>
      </c>
      <c r="F32" s="70">
        <f>VLOOKUP(B32,[4]AKSoftSalesReport!$B$2:$C$87,2,0)</f>
        <v>605388.5</v>
      </c>
      <c r="G32" s="7">
        <f t="shared" si="19"/>
        <v>8.6674497652507468E-2</v>
      </c>
      <c r="H32" s="85">
        <f t="shared" si="2"/>
        <v>817340.51286314544</v>
      </c>
      <c r="I32" s="70">
        <f>VLOOKUP(B32,[5]AKSoftSalesReport!$B$2:$C$87,2,0)</f>
        <v>403201</v>
      </c>
      <c r="J32" s="7">
        <f t="shared" si="20"/>
        <v>5.7726970578378452E-2</v>
      </c>
      <c r="K32" s="85">
        <f t="shared" si="3"/>
        <v>544365.33255410881</v>
      </c>
      <c r="L32" s="6">
        <f>VLOOKUP(B32,[6]AKSoftSalesReport!$B$2:$C$87,2,0)</f>
        <v>509971.53</v>
      </c>
      <c r="M32" s="7">
        <f t="shared" si="21"/>
        <v>7.3013488329941256E-2</v>
      </c>
      <c r="N32" s="85">
        <f t="shared" si="4"/>
        <v>688517.19495134603</v>
      </c>
      <c r="O32" s="6">
        <f>VLOOKUP(B32,[7]AKSoftSalesReport!$B$2:$C$89,2,0)</f>
        <v>601508.68000000098</v>
      </c>
      <c r="P32" s="7">
        <f t="shared" si="22"/>
        <v>8.6119017246979332E-2</v>
      </c>
      <c r="Q32" s="85">
        <f t="shared" si="5"/>
        <v>812102.33263901505</v>
      </c>
      <c r="R32" s="6">
        <f>VLOOKUP(B32,[8]AKSoftSalesReport!$B$2:$C$93,2,0)</f>
        <v>564520.72000000114</v>
      </c>
      <c r="S32" s="7">
        <f t="shared" si="23"/>
        <v>8.0823388320775708E-2</v>
      </c>
      <c r="T32" s="85">
        <f t="shared" si="6"/>
        <v>762164.55186491495</v>
      </c>
      <c r="U32" s="71">
        <f>VLOOKUP(B32,[9]AKSoftSalesReport!$B$2:$C$94,2,0)</f>
        <v>542945.56999999995</v>
      </c>
      <c r="V32" s="7">
        <f t="shared" si="24"/>
        <v>7.7734437526322891E-2</v>
      </c>
      <c r="W32" s="85">
        <f t="shared" si="7"/>
        <v>733035.74587322492</v>
      </c>
      <c r="X32" s="71">
        <f>VLOOKUP(B32,[10]AKSoftSalesReport!$B$2:$C$94,2,0)</f>
        <v>527315.23</v>
      </c>
      <c r="Y32" s="7">
        <f t="shared" si="25"/>
        <v>7.5496615255767882E-2</v>
      </c>
      <c r="Z32" s="85">
        <f t="shared" si="8"/>
        <v>711933.08186189109</v>
      </c>
      <c r="AA32" s="71">
        <f>VLOOKUP(B32,[11]AKSoftSalesReport!$B$2:$C$94,2,0)</f>
        <v>588530.35000000033</v>
      </c>
      <c r="AB32" s="7">
        <f t="shared" si="26"/>
        <v>8.4260887743167284E-2</v>
      </c>
      <c r="AC32" s="85">
        <f t="shared" si="9"/>
        <v>794580.17141806753</v>
      </c>
      <c r="AD32" s="51">
        <f>VLOOKUP(B32,[12]AKSoftSalesReport!$B$2:$C$89,2,0)</f>
        <v>677604.23000000103</v>
      </c>
      <c r="AE32" s="7">
        <f t="shared" si="27"/>
        <v>9.7013746119168465E-2</v>
      </c>
      <c r="AF32" s="85">
        <f t="shared" si="10"/>
        <v>914839.62590375857</v>
      </c>
      <c r="AG32" s="154">
        <f>VLOOKUP(B32,[13]AKSoftSalesReport!$B$2:$C$90,2,0)</f>
        <v>655739</v>
      </c>
      <c r="AH32" s="7">
        <f t="shared" si="28"/>
        <v>9.388326407944253E-2</v>
      </c>
      <c r="AI32" s="85">
        <f t="shared" si="11"/>
        <v>885319.18026914308</v>
      </c>
      <c r="AJ32" s="104">
        <f>VLOOKUP(B32,[14]AKSoftSalesReport!$A:$D,4,0)</f>
        <v>665725</v>
      </c>
      <c r="AK32" s="7">
        <f t="shared" si="29"/>
        <v>9.5312976625283652E-2</v>
      </c>
      <c r="AL32" s="85">
        <f t="shared" si="12"/>
        <v>898801.36957642483</v>
      </c>
      <c r="AM32" s="6">
        <f t="shared" si="13"/>
        <v>6984620.8100000024</v>
      </c>
      <c r="AN32" s="6"/>
      <c r="AO32" s="224">
        <v>6984620.8100000024</v>
      </c>
      <c r="AP32" s="87">
        <f t="shared" si="30"/>
        <v>9429238.0935000032</v>
      </c>
      <c r="AQ32" s="237">
        <v>0.35</v>
      </c>
      <c r="AR32" s="3">
        <v>9430000</v>
      </c>
      <c r="AS32" s="240">
        <f t="shared" si="31"/>
        <v>9430000</v>
      </c>
      <c r="AT32" s="31">
        <f t="shared" si="32"/>
        <v>0</v>
      </c>
      <c r="AV32" s="253">
        <f>VLOOKUP(B32,[17]AKSoftSalesReport!$A:$B,2,0)</f>
        <v>210976.5</v>
      </c>
      <c r="AW32" s="28">
        <f t="shared" si="14"/>
        <v>394412</v>
      </c>
      <c r="AX32" s="28">
        <f>VLOOKUP(B32,[18]AKSoftSalesReport!$A:$B,2,0)</f>
        <v>125854</v>
      </c>
      <c r="AY32" s="79">
        <f t="shared" si="15"/>
        <v>520266</v>
      </c>
      <c r="AZ32" s="28">
        <v>125854</v>
      </c>
      <c r="BA32" s="28">
        <f t="shared" si="16"/>
        <v>277347</v>
      </c>
      <c r="BB32" s="28">
        <f>VLOOKUP(B32,[19]AKSoftSalesReport!$A:$B,2,0)</f>
        <v>172654</v>
      </c>
      <c r="BC32" s="28">
        <f t="shared" si="17"/>
        <v>450001</v>
      </c>
    </row>
    <row r="33" spans="1:55" x14ac:dyDescent="0.3">
      <c r="A33" s="61">
        <v>30</v>
      </c>
      <c r="B33" s="90" t="s">
        <v>75</v>
      </c>
      <c r="C33" s="70">
        <f>VLOOKUP(B33,[3]AKSoftSalesReport!$B$2:$C$87,2,0)</f>
        <v>693330.74000000115</v>
      </c>
      <c r="D33" s="7">
        <f t="shared" si="18"/>
        <v>7.8916144280542389E-2</v>
      </c>
      <c r="E33" s="85">
        <f t="shared" si="1"/>
        <v>797447.63795488083</v>
      </c>
      <c r="F33" s="70">
        <f>VLOOKUP(B33,[4]AKSoftSalesReport!$B$2:$C$87,2,0)</f>
        <v>645158</v>
      </c>
      <c r="G33" s="7">
        <f t="shared" si="19"/>
        <v>7.343303689628139E-2</v>
      </c>
      <c r="H33" s="85">
        <f t="shared" si="2"/>
        <v>742040.83783692343</v>
      </c>
      <c r="I33" s="70">
        <f>VLOOKUP(B33,[5]AKSoftSalesReport!$B$2:$C$87,2,0)</f>
        <v>625561</v>
      </c>
      <c r="J33" s="7">
        <f t="shared" si="20"/>
        <v>7.1202471323109515E-2</v>
      </c>
      <c r="K33" s="85">
        <f t="shared" si="3"/>
        <v>719500.97272002161</v>
      </c>
      <c r="L33" s="6">
        <f>VLOOKUP(B33,[6]AKSoftSalesReport!$B$2:$C$87,2,0)</f>
        <v>672094.03</v>
      </c>
      <c r="M33" s="7">
        <f t="shared" si="21"/>
        <v>7.6498943983893022E-2</v>
      </c>
      <c r="N33" s="85">
        <f t="shared" si="4"/>
        <v>773021.82895723905</v>
      </c>
      <c r="O33" s="6">
        <f>VLOOKUP(B33,[7]AKSoftSalesReport!$B$2:$C$89,2,0)</f>
        <v>808273.70000000007</v>
      </c>
      <c r="P33" s="7">
        <f t="shared" si="22"/>
        <v>9.1999157469013618E-2</v>
      </c>
      <c r="Q33" s="85">
        <f t="shared" si="5"/>
        <v>929651.48622438265</v>
      </c>
      <c r="R33" s="6">
        <f>VLOOKUP(B33,[8]AKSoftSalesReport!$B$2:$C$93,2,0)</f>
        <v>701858.7900000005</v>
      </c>
      <c r="S33" s="7">
        <f t="shared" si="23"/>
        <v>7.9886822176969755E-2</v>
      </c>
      <c r="T33" s="85">
        <f t="shared" si="6"/>
        <v>807256.33809827932</v>
      </c>
      <c r="U33" s="71">
        <f>VLOOKUP(B33,[9]AKSoftSalesReport!$B$2:$C$94,2,0)</f>
        <v>748287.42999999993</v>
      </c>
      <c r="V33" s="7">
        <f t="shared" si="24"/>
        <v>8.5171412981337249E-2</v>
      </c>
      <c r="W33" s="85">
        <f t="shared" si="7"/>
        <v>860657.12817641289</v>
      </c>
      <c r="X33" s="71">
        <f>VLOOKUP(B33,[10]AKSoftSalesReport!$B$2:$C$94,2,0)</f>
        <v>722961.09000000008</v>
      </c>
      <c r="Y33" s="7">
        <f t="shared" si="25"/>
        <v>8.2288723687136828E-2</v>
      </c>
      <c r="Z33" s="85">
        <f t="shared" si="8"/>
        <v>831527.55285851762</v>
      </c>
      <c r="AA33" s="71">
        <f>VLOOKUP(B33,[11]AKSoftSalesReport!$B$2:$C$94,2,0)</f>
        <v>785993.25000000012</v>
      </c>
      <c r="AB33" s="7">
        <f t="shared" si="26"/>
        <v>8.9463156819690887E-2</v>
      </c>
      <c r="AC33" s="85">
        <f t="shared" si="9"/>
        <v>904025.19966297643</v>
      </c>
      <c r="AD33" s="51">
        <f>VLOOKUP(B33,[12]AKSoftSalesReport!$B$2:$C$89,2,0)</f>
        <v>821797.60000000044</v>
      </c>
      <c r="AE33" s="7">
        <f t="shared" si="27"/>
        <v>9.353847194342399E-2</v>
      </c>
      <c r="AF33" s="85">
        <f t="shared" si="10"/>
        <v>945206.25898829941</v>
      </c>
      <c r="AG33" s="154">
        <f>VLOOKUP(B33,[13]AKSoftSalesReport!$B$2:$C$90,2,0)</f>
        <v>742752</v>
      </c>
      <c r="AH33" s="7">
        <f t="shared" si="28"/>
        <v>8.4541360443157798E-2</v>
      </c>
      <c r="AI33" s="85">
        <f t="shared" si="11"/>
        <v>854290.4472781095</v>
      </c>
      <c r="AJ33" s="104">
        <f>VLOOKUP(B33,[14]AKSoftSalesReport!$A:$D,4,0)</f>
        <v>817596.52428571437</v>
      </c>
      <c r="AK33" s="7">
        <f t="shared" si="29"/>
        <v>9.3060297995443436E-2</v>
      </c>
      <c r="AL33" s="85">
        <f t="shared" si="12"/>
        <v>940374.31124395598</v>
      </c>
      <c r="AM33" s="6">
        <f t="shared" si="13"/>
        <v>8785664.1542857178</v>
      </c>
      <c r="AN33" s="6"/>
      <c r="AO33" s="73">
        <v>8785664.1542857178</v>
      </c>
      <c r="AP33" s="87">
        <f t="shared" si="30"/>
        <v>10103513.777428575</v>
      </c>
      <c r="AQ33" s="237">
        <v>0.15</v>
      </c>
      <c r="AR33" s="3">
        <v>10105000</v>
      </c>
      <c r="AS33" s="240">
        <f t="shared" si="31"/>
        <v>10105000</v>
      </c>
      <c r="AT33" s="31">
        <f t="shared" si="32"/>
        <v>0</v>
      </c>
      <c r="AV33" s="253">
        <f>VLOOKUP(B33,[17]AKSoftSalesReport!$A:$B,2,0)</f>
        <v>240383.5</v>
      </c>
      <c r="AW33" s="28">
        <f t="shared" si="14"/>
        <v>404774.5</v>
      </c>
      <c r="AX33" s="28">
        <f>VLOOKUP(B33,[18]AKSoftSalesReport!$A:$B,2,0)</f>
        <v>179245</v>
      </c>
      <c r="AY33" s="79">
        <f t="shared" si="15"/>
        <v>584019.5</v>
      </c>
      <c r="AZ33" s="28">
        <v>179245</v>
      </c>
      <c r="BA33" s="28">
        <f t="shared" si="16"/>
        <v>446316</v>
      </c>
      <c r="BB33" s="28">
        <f>VLOOKUP(B33,[19]AKSoftSalesReport!$A:$B,2,0)</f>
        <v>242981</v>
      </c>
      <c r="BC33" s="28">
        <f t="shared" si="17"/>
        <v>689297</v>
      </c>
    </row>
    <row r="34" spans="1:55" x14ac:dyDescent="0.3">
      <c r="A34" s="239">
        <v>31</v>
      </c>
      <c r="B34" s="89" t="s">
        <v>111</v>
      </c>
      <c r="C34" s="70">
        <f>VLOOKUP(B34,[3]AKSoftSalesReport!$B$2:$C$87,2,0)</f>
        <v>913127.39000000106</v>
      </c>
      <c r="D34" s="7">
        <f t="shared" si="18"/>
        <v>6.9047954966887828E-2</v>
      </c>
      <c r="E34" s="85">
        <f t="shared" si="1"/>
        <v>1232851.2359337821</v>
      </c>
      <c r="F34" s="70">
        <f>VLOOKUP(B34,[4]AKSoftSalesReport!$B$2:$C$87,2,0)</f>
        <v>944638.5</v>
      </c>
      <c r="G34" s="7">
        <f t="shared" si="19"/>
        <v>7.1430730610313187E-2</v>
      </c>
      <c r="H34" s="85">
        <f t="shared" si="2"/>
        <v>1275395.695047142</v>
      </c>
      <c r="I34" s="70">
        <f>VLOOKUP(B34,[5]AKSoftSalesReport!$B$2:$C$87,2,0)</f>
        <v>783248</v>
      </c>
      <c r="J34" s="7">
        <f t="shared" si="20"/>
        <v>5.9226864974343714E-2</v>
      </c>
      <c r="K34" s="85">
        <f t="shared" si="3"/>
        <v>1057495.6741169069</v>
      </c>
      <c r="L34" s="6">
        <f>VLOOKUP(B34,[6]AKSoftSalesReport!$B$2:$C$87,2,0)</f>
        <v>1055735</v>
      </c>
      <c r="M34" s="7">
        <f t="shared" si="21"/>
        <v>7.9831514786745397E-2</v>
      </c>
      <c r="N34" s="85">
        <f t="shared" si="4"/>
        <v>1425391.696517339</v>
      </c>
      <c r="O34" s="6">
        <f>VLOOKUP(B34,[7]AKSoftSalesReport!$B$2:$C$89,2,0)</f>
        <v>1176256.2200000002</v>
      </c>
      <c r="P34" s="7">
        <f t="shared" si="22"/>
        <v>8.8944968026949248E-2</v>
      </c>
      <c r="Q34" s="85">
        <f t="shared" si="5"/>
        <v>1588112.4041211789</v>
      </c>
      <c r="R34" s="6">
        <f>VLOOKUP(B34,[8]AKSoftSalesReport!$B$2:$C$93,2,0)</f>
        <v>1154817.81</v>
      </c>
      <c r="S34" s="7">
        <f t="shared" si="23"/>
        <v>8.7323859751748251E-2</v>
      </c>
      <c r="T34" s="85">
        <f t="shared" si="6"/>
        <v>1559167.5158674649</v>
      </c>
      <c r="U34" s="71">
        <f>VLOOKUP(B34,[9]AKSoftSalesReport!$B$2:$C$94,2,0)</f>
        <v>1270729.0899999999</v>
      </c>
      <c r="V34" s="7">
        <f t="shared" si="24"/>
        <v>9.6088723153331571E-2</v>
      </c>
      <c r="W34" s="85">
        <f t="shared" si="7"/>
        <v>1715664.1519027352</v>
      </c>
      <c r="X34" s="71">
        <f>VLOOKUP(B34,[10]AKSoftSalesReport!$B$2:$C$94,2,0)</f>
        <v>1263152.7200000004</v>
      </c>
      <c r="Y34" s="7">
        <f t="shared" si="25"/>
        <v>9.5515820773771548E-2</v>
      </c>
      <c r="Z34" s="85">
        <f t="shared" si="8"/>
        <v>1705434.9799156911</v>
      </c>
      <c r="AA34" s="71">
        <f>VLOOKUP(B34,[11]AKSoftSalesReport!$B$2:$C$94,2,0)</f>
        <v>1190941</v>
      </c>
      <c r="AB34" s="7">
        <f t="shared" si="26"/>
        <v>9.0055387054176803E-2</v>
      </c>
      <c r="AC34" s="85">
        <f t="shared" si="9"/>
        <v>1607938.9358523269</v>
      </c>
      <c r="AD34" s="51">
        <f>VLOOKUP(B34,[12]AKSoftSalesReport!$B$2:$C$89,2,0)</f>
        <v>1187709.5900000003</v>
      </c>
      <c r="AE34" s="7">
        <f t="shared" si="27"/>
        <v>8.9811037520253031E-2</v>
      </c>
      <c r="AF34" s="85">
        <f t="shared" si="10"/>
        <v>1603576.0749241179</v>
      </c>
      <c r="AG34" s="154">
        <f>VLOOKUP(B34,[13]AKSoftSalesReport!$B$2:$C$90,2,0)</f>
        <v>1062979</v>
      </c>
      <c r="AH34" s="7">
        <f t="shared" si="28"/>
        <v>8.0379284343608803E-2</v>
      </c>
      <c r="AI34" s="85">
        <f t="shared" si="11"/>
        <v>1435172.1219551351</v>
      </c>
      <c r="AJ34" s="104">
        <f>VLOOKUP(B34,[14]AKSoftSalesReport!$A:$D,4,0)</f>
        <v>1221204.9214285712</v>
      </c>
      <c r="AK34" s="7">
        <f t="shared" si="29"/>
        <v>9.2343854037870515E-2</v>
      </c>
      <c r="AL34" s="85">
        <f t="shared" si="12"/>
        <v>1648799.5138461781</v>
      </c>
      <c r="AM34" s="6">
        <f t="shared" si="13"/>
        <v>13224539.241428575</v>
      </c>
      <c r="AN34" s="101"/>
      <c r="AO34" s="73">
        <v>13224539.241428575</v>
      </c>
      <c r="AP34" s="87">
        <f t="shared" si="30"/>
        <v>17853127.975928575</v>
      </c>
      <c r="AQ34" s="237">
        <v>0.35</v>
      </c>
      <c r="AR34" s="1">
        <v>17855000</v>
      </c>
      <c r="AS34" s="240">
        <f t="shared" si="31"/>
        <v>17855000</v>
      </c>
      <c r="AT34" s="31">
        <f t="shared" si="32"/>
        <v>0</v>
      </c>
      <c r="AV34" s="253">
        <f>VLOOKUP(B34,[17]AKSoftSalesReport!$A:$B,2,0)</f>
        <v>353181.5</v>
      </c>
      <c r="AW34" s="28">
        <f t="shared" si="14"/>
        <v>591457</v>
      </c>
      <c r="AX34" s="28">
        <f>VLOOKUP(B34,[18]AKSoftSalesReport!$A:$B,2,0)</f>
        <v>230189</v>
      </c>
      <c r="AY34" s="79">
        <f t="shared" si="15"/>
        <v>821646</v>
      </c>
      <c r="AZ34" s="28">
        <v>230189</v>
      </c>
      <c r="BA34" s="28">
        <f t="shared" si="16"/>
        <v>553059</v>
      </c>
      <c r="BB34" s="28">
        <f>VLOOKUP(B34,[19]AKSoftSalesReport!$A:$B,2,0)</f>
        <v>374112</v>
      </c>
      <c r="BC34" s="28">
        <f t="shared" si="17"/>
        <v>927171</v>
      </c>
    </row>
    <row r="35" spans="1:55" x14ac:dyDescent="0.3">
      <c r="A35" s="61">
        <v>32</v>
      </c>
      <c r="B35" s="90" t="s">
        <v>149</v>
      </c>
      <c r="C35" s="70">
        <f>VLOOKUP(B35,[3]AKSoftSalesReport!$B$2:$C$87,2,0)</f>
        <v>1091943.8100000042</v>
      </c>
      <c r="D35" s="7">
        <f t="shared" si="18"/>
        <v>8.2491247473512816E-2</v>
      </c>
      <c r="E35" s="85">
        <f t="shared" si="1"/>
        <v>1474118.5923516741</v>
      </c>
      <c r="F35" s="70">
        <f>VLOOKUP(B35,[4]AKSoftSalesReport!$B$2:$C$87,2,0)</f>
        <v>1018290.8200000003</v>
      </c>
      <c r="G35" s="7">
        <f t="shared" si="19"/>
        <v>7.6927108577707848E-2</v>
      </c>
      <c r="H35" s="85">
        <f t="shared" si="2"/>
        <v>1374687.4302836393</v>
      </c>
      <c r="I35" s="70">
        <f>VLOOKUP(B35,[5]AKSoftSalesReport!$B$2:$C$87,2,0)</f>
        <v>717304</v>
      </c>
      <c r="J35" s="7">
        <f t="shared" si="20"/>
        <v>5.4188962138757311E-2</v>
      </c>
      <c r="K35" s="85">
        <f t="shared" si="3"/>
        <v>968356.75341959321</v>
      </c>
      <c r="L35" s="6">
        <f>VLOOKUP(B35,[6]AKSoftSalesReport!$B$2:$C$87,2,0)</f>
        <v>1040587</v>
      </c>
      <c r="M35" s="7">
        <f t="shared" si="21"/>
        <v>7.8611480690311306E-2</v>
      </c>
      <c r="N35" s="85">
        <f t="shared" si="4"/>
        <v>1404787.159935863</v>
      </c>
      <c r="O35" s="6">
        <f>VLOOKUP(B35,[7]AKSoftSalesReport!$B$2:$C$89,2,0)</f>
        <v>1157647.2900000019</v>
      </c>
      <c r="P35" s="7">
        <f t="shared" si="22"/>
        <v>8.7454838071229363E-2</v>
      </c>
      <c r="Q35" s="85">
        <f t="shared" si="5"/>
        <v>1562817.9563328687</v>
      </c>
      <c r="R35" s="6">
        <f>VLOOKUP(B35,[8]AKSoftSalesReport!$B$2:$C$93,2,0)</f>
        <v>1091854.9000000001</v>
      </c>
      <c r="S35" s="7">
        <f t="shared" si="23"/>
        <v>8.2484530738873144E-2</v>
      </c>
      <c r="T35" s="85">
        <f t="shared" si="6"/>
        <v>1473998.5643036631</v>
      </c>
      <c r="U35" s="71">
        <f>VLOOKUP(B35,[9]AKSoftSalesReport!$B$2:$C$94,2,0)</f>
        <v>1188348.2500000007</v>
      </c>
      <c r="V35" s="7">
        <f t="shared" si="24"/>
        <v>8.9774152000976645E-2</v>
      </c>
      <c r="W35" s="85">
        <f t="shared" si="7"/>
        <v>1604264.0962574526</v>
      </c>
      <c r="X35" s="71">
        <f>VLOOKUP(B35,[10]AKSoftSalesReport!$B$2:$C$94,2,0)</f>
        <v>1217490</v>
      </c>
      <c r="Y35" s="7">
        <f t="shared" si="25"/>
        <v>9.1975674908150021E-2</v>
      </c>
      <c r="Z35" s="85">
        <f t="shared" si="8"/>
        <v>1643605.3106086408</v>
      </c>
      <c r="AA35" s="71">
        <f>VLOOKUP(B35,[11]AKSoftSalesReport!$B$2:$C$94,2,0)</f>
        <v>1191956</v>
      </c>
      <c r="AB35" s="7">
        <f t="shared" si="26"/>
        <v>9.0046700638870839E-2</v>
      </c>
      <c r="AC35" s="85">
        <f t="shared" si="9"/>
        <v>1609134.5404166218</v>
      </c>
      <c r="AD35" s="51">
        <f>VLOOKUP(B35,[12]AKSoftSalesReport!$B$2:$C$89,2,0)</f>
        <v>1247353.1000000001</v>
      </c>
      <c r="AE35" s="7">
        <f t="shared" si="27"/>
        <v>9.4231692433837777E-2</v>
      </c>
      <c r="AF35" s="85">
        <f t="shared" si="10"/>
        <v>1683920.3437926811</v>
      </c>
      <c r="AG35" s="154">
        <f>VLOOKUP(B35,[13]AKSoftSalesReport!$B$2:$C$90,2,0)</f>
        <v>1150327</v>
      </c>
      <c r="AH35" s="7">
        <f t="shared" si="28"/>
        <v>8.6901824401077202E-2</v>
      </c>
      <c r="AI35" s="85">
        <f t="shared" si="11"/>
        <v>1552935.6020472497</v>
      </c>
      <c r="AJ35" s="104">
        <f>VLOOKUP(B35,[14]AKSoftSalesReport!$A:$D,4,0)</f>
        <v>1123984.7142857143</v>
      </c>
      <c r="AK35" s="7">
        <f t="shared" si="29"/>
        <v>8.4911787926695695E-2</v>
      </c>
      <c r="AL35" s="85">
        <f t="shared" si="12"/>
        <v>1517373.6502500521</v>
      </c>
      <c r="AM35" s="6">
        <f t="shared" si="13"/>
        <v>13237086.884285722</v>
      </c>
      <c r="AN35" s="104"/>
      <c r="AO35" s="73">
        <v>13237086.884285722</v>
      </c>
      <c r="AP35" s="87">
        <f t="shared" si="30"/>
        <v>17870067.293785725</v>
      </c>
      <c r="AQ35" s="237">
        <v>0.35</v>
      </c>
      <c r="AR35" s="1">
        <v>17870000</v>
      </c>
      <c r="AS35" s="240">
        <f t="shared" si="31"/>
        <v>17870000</v>
      </c>
      <c r="AT35" s="31">
        <f t="shared" si="32"/>
        <v>0</v>
      </c>
      <c r="AV35" s="253">
        <f>VLOOKUP(B35,[17]AKSoftSalesReport!$A:$B,2,0)</f>
        <v>387273</v>
      </c>
      <c r="AW35" s="28">
        <f t="shared" si="14"/>
        <v>631017.8200000003</v>
      </c>
      <c r="AX35" s="28">
        <f>VLOOKUP(B35,[18]AKSoftSalesReport!$A:$B,2,0)</f>
        <v>194014</v>
      </c>
      <c r="AY35" s="79">
        <f t="shared" si="15"/>
        <v>825031.8200000003</v>
      </c>
      <c r="AZ35" s="28">
        <v>194014</v>
      </c>
      <c r="BA35" s="28">
        <f t="shared" si="16"/>
        <v>523290</v>
      </c>
      <c r="BB35" s="28">
        <f>VLOOKUP(B35,[19]AKSoftSalesReport!$A:$B,2,0)</f>
        <v>355110</v>
      </c>
      <c r="BC35" s="28">
        <f t="shared" si="17"/>
        <v>878400</v>
      </c>
    </row>
    <row r="36" spans="1:55" x14ac:dyDescent="0.3">
      <c r="A36" s="239">
        <v>33</v>
      </c>
      <c r="B36" s="89" t="s">
        <v>80</v>
      </c>
      <c r="C36" s="70">
        <f>VLOOKUP(B36,[3]AKSoftSalesReport!$B$2:$C$87,2,0)</f>
        <v>576504.72000000114</v>
      </c>
      <c r="D36" s="7">
        <f t="shared" si="18"/>
        <v>7.7446706869652729E-2</v>
      </c>
      <c r="E36" s="85">
        <f t="shared" si="1"/>
        <v>680369.31984989927</v>
      </c>
      <c r="F36" s="70">
        <f>VLOOKUP(B36,[4]AKSoftSalesReport!$B$2:$C$87,2,0)</f>
        <v>545587</v>
      </c>
      <c r="G36" s="7">
        <f t="shared" si="19"/>
        <v>7.3293270627330057E-2</v>
      </c>
      <c r="H36" s="85">
        <f t="shared" si="2"/>
        <v>643881.38246109453</v>
      </c>
      <c r="I36" s="70">
        <f>VLOOKUP(B36,[5]AKSoftSalesReport!$B$2:$C$87,2,0)</f>
        <v>559863</v>
      </c>
      <c r="J36" s="7">
        <f t="shared" si="20"/>
        <v>7.5211085259049223E-2</v>
      </c>
      <c r="K36" s="85">
        <f t="shared" si="3"/>
        <v>660729.38400074746</v>
      </c>
      <c r="L36" s="6">
        <f>VLOOKUP(B36,[6]AKSoftSalesReport!$B$2:$C$87,2,0)</f>
        <v>567757</v>
      </c>
      <c r="M36" s="7">
        <f t="shared" si="21"/>
        <v>7.627155238589084E-2</v>
      </c>
      <c r="N36" s="85">
        <f t="shared" si="4"/>
        <v>670045.58771005098</v>
      </c>
      <c r="O36" s="6">
        <f>VLOOKUP(B36,[7]AKSoftSalesReport!$B$2:$C$89,2,0)</f>
        <v>664755.34000000125</v>
      </c>
      <c r="P36" s="7">
        <f t="shared" si="22"/>
        <v>8.930215169273259E-2</v>
      </c>
      <c r="Q36" s="85">
        <f t="shared" si="5"/>
        <v>784519.40262065583</v>
      </c>
      <c r="R36" s="6">
        <f>VLOOKUP(B36,[8]AKSoftSalesReport!$B$2:$C$93,2,0)</f>
        <v>630068.50000000326</v>
      </c>
      <c r="S36" s="7">
        <f t="shared" si="23"/>
        <v>8.4642377997012658E-2</v>
      </c>
      <c r="T36" s="85">
        <f t="shared" si="6"/>
        <v>743583.29070375615</v>
      </c>
      <c r="U36" s="71">
        <f>VLOOKUP(B36,[9]AKSoftSalesReport!$B$2:$C$94,2,0)</f>
        <v>617417.98000000045</v>
      </c>
      <c r="V36" s="7">
        <f t="shared" si="24"/>
        <v>8.2942927705974459E-2</v>
      </c>
      <c r="W36" s="85">
        <f t="shared" si="7"/>
        <v>728653.61989698559</v>
      </c>
      <c r="X36" s="71">
        <f>VLOOKUP(B36,[10]AKSoftSalesReport!$B$2:$C$94,2,0)</f>
        <v>654503.06000000006</v>
      </c>
      <c r="Y36" s="7">
        <f t="shared" si="25"/>
        <v>8.792487706451152E-2</v>
      </c>
      <c r="Z36" s="85">
        <f t="shared" si="8"/>
        <v>772420.04501173366</v>
      </c>
      <c r="AA36" s="71">
        <f>VLOOKUP(B36,[11]AKSoftSalesReport!$B$2:$C$94,2,0)</f>
        <v>620271.30000000028</v>
      </c>
      <c r="AB36" s="7">
        <f t="shared" si="26"/>
        <v>8.3326238076174564E-2</v>
      </c>
      <c r="AC36" s="85">
        <f t="shared" si="9"/>
        <v>732021.00149919349</v>
      </c>
      <c r="AD36" s="51">
        <f>VLOOKUP(B36,[12]AKSoftSalesReport!$B$2:$C$89,2,0)</f>
        <v>696890.98000000056</v>
      </c>
      <c r="AE36" s="7">
        <f t="shared" si="27"/>
        <v>9.3619201327900581E-2</v>
      </c>
      <c r="AF36" s="85">
        <f t="shared" si="10"/>
        <v>822444.68366560666</v>
      </c>
      <c r="AG36" s="154">
        <f>VLOOKUP(B36,[13]AKSoftSalesReport!$B$2:$C$90,2,0)</f>
        <v>667090</v>
      </c>
      <c r="AH36" s="7">
        <f t="shared" si="28"/>
        <v>8.9615786121710381E-2</v>
      </c>
      <c r="AI36" s="85">
        <f t="shared" si="11"/>
        <v>787274.68107922573</v>
      </c>
      <c r="AJ36" s="104">
        <f>VLOOKUP(B36,[14]AKSoftSalesReport!$A:$D,4,0)</f>
        <v>643180.5157142859</v>
      </c>
      <c r="AK36" s="7">
        <f t="shared" si="29"/>
        <v>8.6403824872060483E-2</v>
      </c>
      <c r="AL36" s="85">
        <f t="shared" si="12"/>
        <v>759057.60150105134</v>
      </c>
      <c r="AM36" s="6">
        <f t="shared" si="13"/>
        <v>7443889.3957142923</v>
      </c>
      <c r="AN36" s="155"/>
      <c r="AO36" s="73">
        <v>7443889.3957142923</v>
      </c>
      <c r="AP36" s="87">
        <f t="shared" si="30"/>
        <v>8783789.486942865</v>
      </c>
      <c r="AQ36" s="237">
        <v>0.18</v>
      </c>
      <c r="AR36" s="3">
        <v>8785000</v>
      </c>
      <c r="AS36" s="240">
        <f t="shared" si="31"/>
        <v>8785000.0000000019</v>
      </c>
      <c r="AT36" s="31">
        <f t="shared" si="32"/>
        <v>0</v>
      </c>
      <c r="AV36" s="253">
        <f>VLOOKUP(B36,[17]AKSoftSalesReport!$A:$B,2,0)</f>
        <v>181155</v>
      </c>
      <c r="AW36" s="28">
        <f t="shared" si="14"/>
        <v>364432</v>
      </c>
      <c r="AX36" s="28">
        <f>VLOOKUP(B36,[18]AKSoftSalesReport!$A:$B,2,0)</f>
        <v>140833</v>
      </c>
      <c r="AY36" s="79">
        <f t="shared" si="15"/>
        <v>505265</v>
      </c>
      <c r="AZ36" s="28">
        <v>140833</v>
      </c>
      <c r="BA36" s="28">
        <f t="shared" si="16"/>
        <v>419030</v>
      </c>
      <c r="BB36" s="28">
        <f>VLOOKUP(B36,[19]AKSoftSalesReport!$A:$B,2,0)</f>
        <v>160471</v>
      </c>
      <c r="BC36" s="28">
        <f t="shared" si="17"/>
        <v>579501</v>
      </c>
    </row>
    <row r="37" spans="1:55" x14ac:dyDescent="0.3">
      <c r="A37" s="61">
        <v>34</v>
      </c>
      <c r="B37" s="90" t="s">
        <v>81</v>
      </c>
      <c r="C37" s="70">
        <f>VLOOKUP(B37,[3]AKSoftSalesReport!$B$2:$C$87,2,0)</f>
        <v>751031.87000000023</v>
      </c>
      <c r="D37" s="7">
        <f t="shared" si="18"/>
        <v>8.2395825070215672E-2</v>
      </c>
      <c r="E37" s="85">
        <f t="shared" si="1"/>
        <v>863508.24673586024</v>
      </c>
      <c r="F37" s="70">
        <f>VLOOKUP(B37,[4]AKSoftSalesReport!$B$2:$C$87,2,0)</f>
        <v>751057.28</v>
      </c>
      <c r="G37" s="7">
        <f t="shared" si="19"/>
        <v>8.2398612805328716E-2</v>
      </c>
      <c r="H37" s="85">
        <f t="shared" si="2"/>
        <v>863537.462199845</v>
      </c>
      <c r="I37" s="70">
        <f>VLOOKUP(B37,[5]AKSoftSalesReport!$B$2:$C$87,2,0)</f>
        <v>624032.10000000009</v>
      </c>
      <c r="J37" s="7">
        <f t="shared" si="20"/>
        <v>6.8462660246094917E-2</v>
      </c>
      <c r="K37" s="85">
        <f t="shared" si="3"/>
        <v>717488.67937907472</v>
      </c>
      <c r="L37" s="6">
        <f>VLOOKUP(B37,[6]AKSoftSalesReport!$B$2:$C$87,2,0)</f>
        <v>719116</v>
      </c>
      <c r="M37" s="7">
        <f t="shared" si="21"/>
        <v>7.8894329931955082E-2</v>
      </c>
      <c r="N37" s="85">
        <f t="shared" si="4"/>
        <v>826812.57768688921</v>
      </c>
      <c r="O37" s="6">
        <f>VLOOKUP(B37,[7]AKSoftSalesReport!$B$2:$C$89,2,0)</f>
        <v>779790</v>
      </c>
      <c r="P37" s="7">
        <f t="shared" si="22"/>
        <v>8.5550884054365714E-2</v>
      </c>
      <c r="Q37" s="85">
        <f t="shared" si="5"/>
        <v>896573.26488975273</v>
      </c>
      <c r="R37" s="6">
        <f>VLOOKUP(B37,[8]AKSoftSalesReport!$B$2:$C$93,2,0)</f>
        <v>754220</v>
      </c>
      <c r="S37" s="7">
        <f t="shared" si="23"/>
        <v>8.2745595316025725E-2</v>
      </c>
      <c r="T37" s="85">
        <f t="shared" si="6"/>
        <v>867173.83891194954</v>
      </c>
      <c r="U37" s="71">
        <f>VLOOKUP(B37,[9]AKSoftSalesReport!$B$2:$C$94,2,0)</f>
        <v>676161</v>
      </c>
      <c r="V37" s="7">
        <f t="shared" si="24"/>
        <v>7.4181730097954549E-2</v>
      </c>
      <c r="W37" s="85">
        <f t="shared" si="7"/>
        <v>777424.53142656363</v>
      </c>
      <c r="X37" s="71">
        <f>VLOOKUP(B37,[10]AKSoftSalesReport!$B$2:$C$94,2,0)</f>
        <v>714546</v>
      </c>
      <c r="Y37" s="7">
        <f t="shared" si="25"/>
        <v>7.8392954510202492E-2</v>
      </c>
      <c r="Z37" s="85">
        <f t="shared" si="8"/>
        <v>821558.16326692211</v>
      </c>
      <c r="AA37" s="71">
        <f>VLOOKUP(B37,[11]AKSoftSalesReport!$B$2:$C$94,2,0)</f>
        <v>778489.54000000027</v>
      </c>
      <c r="AB37" s="7">
        <f t="shared" si="26"/>
        <v>8.5408210382380542E-2</v>
      </c>
      <c r="AC37" s="85">
        <f t="shared" si="9"/>
        <v>895078.04480734805</v>
      </c>
      <c r="AD37" s="51">
        <f>VLOOKUP(B37,[12]AKSoftSalesReport!$B$2:$C$89,2,0)</f>
        <v>872014.26000000117</v>
      </c>
      <c r="AE37" s="7">
        <f t="shared" si="27"/>
        <v>9.5668822184195243E-2</v>
      </c>
      <c r="AF37" s="85">
        <f t="shared" si="10"/>
        <v>1002609.2564903662</v>
      </c>
      <c r="AG37" s="154">
        <f>VLOOKUP(B37,[13]AKSoftSalesReport!$B$2:$C$90,2,0)</f>
        <v>809788</v>
      </c>
      <c r="AH37" s="7">
        <f t="shared" si="28"/>
        <v>8.8841969372031829E-2</v>
      </c>
      <c r="AI37" s="85">
        <f t="shared" si="11"/>
        <v>931063.83901889354</v>
      </c>
      <c r="AJ37" s="104">
        <f>VLOOKUP(B37,[14]AKSoftSalesReport!$A:$D,4,0)</f>
        <v>884680.2142857142</v>
      </c>
      <c r="AK37" s="7">
        <f t="shared" si="29"/>
        <v>9.7058406029249603E-2</v>
      </c>
      <c r="AL37" s="85">
        <f t="shared" si="12"/>
        <v>1017172.0951865359</v>
      </c>
      <c r="AM37" s="6">
        <f t="shared" si="13"/>
        <v>9114926.2642857153</v>
      </c>
      <c r="AN37" s="155"/>
      <c r="AO37" s="73">
        <v>9114926.2642857153</v>
      </c>
      <c r="AP37" s="87">
        <f t="shared" si="30"/>
        <v>10482165.203928573</v>
      </c>
      <c r="AQ37" s="237">
        <v>0.15</v>
      </c>
      <c r="AR37" s="3">
        <v>10480000</v>
      </c>
      <c r="AS37" s="240">
        <f t="shared" si="31"/>
        <v>10480000.000000002</v>
      </c>
      <c r="AT37" s="31">
        <f t="shared" si="32"/>
        <v>0</v>
      </c>
      <c r="AV37" s="253">
        <f>VLOOKUP(B37,[17]AKSoftSalesReport!$A:$B,2,0)</f>
        <v>272823.98</v>
      </c>
      <c r="AW37" s="28">
        <f t="shared" si="14"/>
        <v>478233.30000000005</v>
      </c>
      <c r="AX37" s="28">
        <f>VLOOKUP(B37,[18]AKSoftSalesReport!$A:$B,2,0)</f>
        <v>169211</v>
      </c>
      <c r="AY37" s="79">
        <f t="shared" si="15"/>
        <v>647444.30000000005</v>
      </c>
      <c r="AZ37" s="28">
        <v>169211</v>
      </c>
      <c r="BA37" s="28">
        <f t="shared" si="16"/>
        <v>454821.10000000009</v>
      </c>
      <c r="BB37" s="28">
        <f>VLOOKUP(B37,[19]AKSoftSalesReport!$A:$B,2,0)</f>
        <v>215238</v>
      </c>
      <c r="BC37" s="28">
        <f t="shared" si="17"/>
        <v>670059.10000000009</v>
      </c>
    </row>
    <row r="38" spans="1:55" x14ac:dyDescent="0.3">
      <c r="A38" s="239">
        <v>35</v>
      </c>
      <c r="B38" s="89" t="s">
        <v>82</v>
      </c>
      <c r="C38" s="70">
        <f>VLOOKUP(B38,[3]AKSoftSalesReport!$B$2:$C$87,2,0)</f>
        <v>839530.36000000127</v>
      </c>
      <c r="D38" s="7">
        <f t="shared" si="18"/>
        <v>8.0852829197205128E-2</v>
      </c>
      <c r="E38" s="85">
        <f t="shared" si="1"/>
        <v>990447.15766576282</v>
      </c>
      <c r="F38" s="70">
        <f>VLOOKUP(B38,[4]AKSoftSalesReport!$B$2:$C$87,2,0)</f>
        <v>746701.5</v>
      </c>
      <c r="G38" s="7">
        <f t="shared" si="19"/>
        <v>7.1912740405000689E-2</v>
      </c>
      <c r="H38" s="85">
        <f t="shared" si="2"/>
        <v>880931.06996125844</v>
      </c>
      <c r="I38" s="70">
        <f>VLOOKUP(B38,[5]AKSoftSalesReport!$B$2:$C$87,2,0)</f>
        <v>604391</v>
      </c>
      <c r="J38" s="7">
        <f t="shared" si="20"/>
        <v>5.8207212769920469E-2</v>
      </c>
      <c r="K38" s="85">
        <f t="shared" si="3"/>
        <v>713038.35643152578</v>
      </c>
      <c r="L38" s="6">
        <f>VLOOKUP(B38,[6]AKSoftSalesReport!$B$2:$C$87,2,0)</f>
        <v>720532.10000000009</v>
      </c>
      <c r="M38" s="7">
        <f t="shared" si="21"/>
        <v>6.939243842522079E-2</v>
      </c>
      <c r="N38" s="85">
        <f t="shared" si="4"/>
        <v>850057.37070895464</v>
      </c>
      <c r="O38" s="6">
        <f>VLOOKUP(B38,[7]AKSoftSalesReport!$B$2:$C$89,2,0)</f>
        <v>915982.1100000008</v>
      </c>
      <c r="P38" s="7">
        <f t="shared" si="22"/>
        <v>8.8215684168378994E-2</v>
      </c>
      <c r="Q38" s="85">
        <f t="shared" si="5"/>
        <v>1080642.1310626427</v>
      </c>
      <c r="R38" s="6">
        <f>VLOOKUP(B38,[8]AKSoftSalesReport!$B$2:$C$93,2,0)</f>
        <v>924109.64000000106</v>
      </c>
      <c r="S38" s="7">
        <f t="shared" si="23"/>
        <v>8.8998423931221135E-2</v>
      </c>
      <c r="T38" s="85">
        <f t="shared" si="6"/>
        <v>1090230.6931574589</v>
      </c>
      <c r="U38" s="71">
        <f>VLOOKUP(B38,[9]AKSoftSalesReport!$B$2:$C$94,2,0)</f>
        <v>1006557.08</v>
      </c>
      <c r="V38" s="7">
        <f t="shared" si="24"/>
        <v>9.6938707096283466E-2</v>
      </c>
      <c r="W38" s="85">
        <f t="shared" si="7"/>
        <v>1187499.1619294723</v>
      </c>
      <c r="X38" s="71">
        <f>VLOOKUP(B38,[10]AKSoftSalesReport!$B$2:$C$94,2,0)</f>
        <v>926278</v>
      </c>
      <c r="Y38" s="7">
        <f t="shared" si="25"/>
        <v>8.920725263959324E-2</v>
      </c>
      <c r="Z38" s="85">
        <f t="shared" si="8"/>
        <v>1092788.8448350171</v>
      </c>
      <c r="AA38" s="71">
        <f>VLOOKUP(B38,[11]AKSoftSalesReport!$B$2:$C$94,2,0)</f>
        <v>964389.35999999987</v>
      </c>
      <c r="AB38" s="7">
        <f t="shared" si="26"/>
        <v>9.2877651504683925E-2</v>
      </c>
      <c r="AC38" s="85">
        <f t="shared" si="9"/>
        <v>1137751.230932378</v>
      </c>
      <c r="AD38" s="51">
        <f>VLOOKUP(B38,[12]AKSoftSalesReport!$B$2:$C$89,2,0)</f>
        <v>977899.21000000299</v>
      </c>
      <c r="AE38" s="7">
        <f t="shared" si="27"/>
        <v>9.4178747506179467E-2</v>
      </c>
      <c r="AF38" s="85">
        <f t="shared" si="10"/>
        <v>1153689.6569506985</v>
      </c>
      <c r="AG38" s="154">
        <f>VLOOKUP(B38,[13]AKSoftSalesReport!$B$2:$C$90,2,0)</f>
        <v>860439</v>
      </c>
      <c r="AH38" s="7">
        <f t="shared" si="28"/>
        <v>8.2866482043143591E-2</v>
      </c>
      <c r="AI38" s="85">
        <f t="shared" si="11"/>
        <v>1015114.405028509</v>
      </c>
      <c r="AJ38" s="104">
        <f>VLOOKUP(B38,[14]AKSoftSalesReport!$A:$D,4,0)</f>
        <v>896628.89857142884</v>
      </c>
      <c r="AK38" s="7">
        <f t="shared" si="29"/>
        <v>8.635183031316912E-2</v>
      </c>
      <c r="AL38" s="85">
        <f t="shared" si="12"/>
        <v>1057809.9213363216</v>
      </c>
      <c r="AM38" s="6">
        <f t="shared" si="13"/>
        <v>10383438.258571435</v>
      </c>
      <c r="AN38" s="155"/>
      <c r="AO38" s="73">
        <v>10383438.258571435</v>
      </c>
      <c r="AP38" s="87">
        <f t="shared" si="30"/>
        <v>12252457.145114293</v>
      </c>
      <c r="AQ38" s="237">
        <v>0.18</v>
      </c>
      <c r="AR38" s="3">
        <v>12250000</v>
      </c>
      <c r="AS38" s="240">
        <f t="shared" si="31"/>
        <v>12250000</v>
      </c>
      <c r="AT38" s="31">
        <f t="shared" si="32"/>
        <v>0</v>
      </c>
      <c r="AV38" s="253">
        <f>VLOOKUP(B38,[17]AKSoftSalesReport!$A:$B,2,0)</f>
        <v>246229.5</v>
      </c>
      <c r="AW38" s="28">
        <f t="shared" si="14"/>
        <v>500472</v>
      </c>
      <c r="AX38" s="28">
        <f>VLOOKUP(B38,[18]AKSoftSalesReport!$A:$B,2,0)</f>
        <v>183937</v>
      </c>
      <c r="AY38" s="79">
        <f t="shared" si="15"/>
        <v>684409</v>
      </c>
      <c r="AZ38" s="28">
        <v>183937</v>
      </c>
      <c r="BA38" s="28">
        <f t="shared" si="16"/>
        <v>420454</v>
      </c>
      <c r="BB38" s="28">
        <f>VLOOKUP(B38,[19]AKSoftSalesReport!$A:$B,2,0)</f>
        <v>219108</v>
      </c>
      <c r="BC38" s="28">
        <f t="shared" si="17"/>
        <v>639562</v>
      </c>
    </row>
    <row r="39" spans="1:55" x14ac:dyDescent="0.3">
      <c r="A39" s="61">
        <v>36</v>
      </c>
      <c r="B39" s="90" t="s">
        <v>83</v>
      </c>
      <c r="C39" s="70">
        <f>VLOOKUP(B39,[3]AKSoftSalesReport!$B$2:$C$87,2,0)</f>
        <v>490930.8600000001</v>
      </c>
      <c r="D39" s="7">
        <f t="shared" si="18"/>
        <v>7.7241100398095494E-2</v>
      </c>
      <c r="E39" s="85">
        <f t="shared" si="1"/>
        <v>588963.39053547813</v>
      </c>
      <c r="F39" s="70">
        <f>VLOOKUP(B39,[4]AKSoftSalesReport!$B$2:$C$87,2,0)</f>
        <v>525742.72</v>
      </c>
      <c r="G39" s="7">
        <f t="shared" si="19"/>
        <v>8.2718259388069024E-2</v>
      </c>
      <c r="H39" s="85">
        <f t="shared" si="2"/>
        <v>630726.72783402633</v>
      </c>
      <c r="I39" s="70">
        <f>VLOOKUP(B39,[5]AKSoftSalesReport!$B$2:$C$87,2,0)</f>
        <v>370104</v>
      </c>
      <c r="J39" s="7">
        <f t="shared" si="20"/>
        <v>5.8230684910980601E-2</v>
      </c>
      <c r="K39" s="85">
        <f t="shared" si="3"/>
        <v>444008.9724462271</v>
      </c>
      <c r="L39" s="6">
        <f>VLOOKUP(B39,[6]AKSoftSalesReport!$B$2:$C$87,2,0)</f>
        <v>521991.03</v>
      </c>
      <c r="M39" s="7">
        <f t="shared" si="21"/>
        <v>8.2127983470290045E-2</v>
      </c>
      <c r="N39" s="85">
        <f t="shared" si="4"/>
        <v>626225.87396096159</v>
      </c>
      <c r="O39" s="6">
        <f>VLOOKUP(B39,[7]AKSoftSalesReport!$B$2:$C$89,2,0)</f>
        <v>562964.26000000024</v>
      </c>
      <c r="P39" s="7">
        <f t="shared" si="22"/>
        <v>8.8574547803329268E-2</v>
      </c>
      <c r="Q39" s="85">
        <f t="shared" si="5"/>
        <v>675380.92700038571</v>
      </c>
      <c r="R39" s="6">
        <f>VLOOKUP(B39,[8]AKSoftSalesReport!$B$2:$C$93,2,0)</f>
        <v>536809.40000000084</v>
      </c>
      <c r="S39" s="7">
        <f t="shared" si="23"/>
        <v>8.4459446611364911E-2</v>
      </c>
      <c r="T39" s="85">
        <f t="shared" si="6"/>
        <v>644003.28041165741</v>
      </c>
      <c r="U39" s="71">
        <f>VLOOKUP(B39,[9]AKSoftSalesReport!$B$2:$C$94,2,0)</f>
        <v>611334.64000000025</v>
      </c>
      <c r="V39" s="7">
        <f t="shared" si="24"/>
        <v>9.6184950168081873E-2</v>
      </c>
      <c r="W39" s="85">
        <f t="shared" si="7"/>
        <v>733410.24503162433</v>
      </c>
      <c r="X39" s="71">
        <f>VLOOKUP(B39,[10]AKSoftSalesReport!$B$2:$C$94,2,0)</f>
        <v>568798.13000000012</v>
      </c>
      <c r="Y39" s="7">
        <f t="shared" si="25"/>
        <v>8.9492425604654341E-2</v>
      </c>
      <c r="Z39" s="85">
        <f t="shared" si="8"/>
        <v>682379.74523548933</v>
      </c>
      <c r="AA39" s="71">
        <f>VLOOKUP(B39,[11]AKSoftSalesReport!$B$2:$C$94,2,0)</f>
        <v>538113.4</v>
      </c>
      <c r="AB39" s="7">
        <f t="shared" si="26"/>
        <v>8.4664612762295116E-2</v>
      </c>
      <c r="AC39" s="85">
        <f t="shared" si="9"/>
        <v>645567.6723125003</v>
      </c>
      <c r="AD39" s="51">
        <f>VLOOKUP(B39,[12]AKSoftSalesReport!$B$2:$C$89,2,0)</f>
        <v>594696.1800000011</v>
      </c>
      <c r="AE39" s="7">
        <f t="shared" si="27"/>
        <v>9.3567121337094078E-2</v>
      </c>
      <c r="AF39" s="85">
        <f t="shared" si="10"/>
        <v>713449.3001953424</v>
      </c>
      <c r="AG39" s="154">
        <f>VLOOKUP(B39,[13]AKSoftSalesReport!$B$2:$C$90,2,0)</f>
        <v>530552</v>
      </c>
      <c r="AH39" s="7">
        <f t="shared" si="28"/>
        <v>8.347493229170877E-2</v>
      </c>
      <c r="AI39" s="85">
        <f t="shared" si="11"/>
        <v>636496.35872427933</v>
      </c>
      <c r="AJ39" s="104">
        <f>VLOOKUP(B39,[14]AKSoftSalesReport!$A:$D,4,0)</f>
        <v>503787.6428571429</v>
      </c>
      <c r="AK39" s="7">
        <f t="shared" si="29"/>
        <v>7.926393525403648E-2</v>
      </c>
      <c r="AL39" s="85">
        <f t="shared" si="12"/>
        <v>604387.50631202816</v>
      </c>
      <c r="AM39" s="6">
        <f t="shared" si="13"/>
        <v>6355824.2628571456</v>
      </c>
      <c r="AN39" s="155"/>
      <c r="AO39" s="103">
        <v>6355824.2628571456</v>
      </c>
      <c r="AP39" s="87">
        <f t="shared" si="30"/>
        <v>7626989.1154285744</v>
      </c>
      <c r="AQ39" s="237">
        <v>0.2</v>
      </c>
      <c r="AR39" s="3">
        <v>7625000</v>
      </c>
      <c r="AS39" s="240">
        <f t="shared" si="31"/>
        <v>7625000.0000000009</v>
      </c>
      <c r="AT39" s="31">
        <f t="shared" si="32"/>
        <v>0</v>
      </c>
      <c r="AV39" s="253">
        <f>VLOOKUP(B39,[17]AKSoftSalesReport!$A:$B,2,0)</f>
        <v>212099.5</v>
      </c>
      <c r="AW39" s="28">
        <f t="shared" si="14"/>
        <v>313643.21999999997</v>
      </c>
      <c r="AX39" s="28">
        <f>VLOOKUP(B39,[18]AKSoftSalesReport!$A:$B,2,0)</f>
        <v>111531</v>
      </c>
      <c r="AY39" s="79">
        <f t="shared" si="15"/>
        <v>425174.22</v>
      </c>
      <c r="AZ39" s="28">
        <v>111531</v>
      </c>
      <c r="BA39" s="28">
        <f t="shared" si="16"/>
        <v>258573</v>
      </c>
      <c r="BB39" s="28">
        <f>VLOOKUP(B39,[19]AKSoftSalesReport!$A:$B,2,0)</f>
        <v>156432</v>
      </c>
      <c r="BC39" s="28">
        <f t="shared" si="17"/>
        <v>415005</v>
      </c>
    </row>
    <row r="40" spans="1:55" x14ac:dyDescent="0.3">
      <c r="A40" s="239">
        <v>37</v>
      </c>
      <c r="B40" s="89" t="s">
        <v>84</v>
      </c>
      <c r="C40" s="70">
        <f>VLOOKUP(B40,[3]AKSoftSalesReport!$B$2:$C$87,2,0)</f>
        <v>399122.12000000034</v>
      </c>
      <c r="D40" s="7">
        <f t="shared" si="18"/>
        <v>8.805139192930761E-2</v>
      </c>
      <c r="E40" s="85">
        <f t="shared" si="1"/>
        <v>458747.75195169263</v>
      </c>
      <c r="F40" s="70">
        <f>VLOOKUP(B40,[4]AKSoftSalesReport!$B$2:$C$87,2,0)</f>
        <v>238308.5</v>
      </c>
      <c r="G40" s="7">
        <f t="shared" si="19"/>
        <v>5.2573871710205847E-2</v>
      </c>
      <c r="H40" s="85">
        <f t="shared" si="2"/>
        <v>273909.87161017244</v>
      </c>
      <c r="I40" s="70">
        <f>VLOOKUP(B40,[5]AKSoftSalesReport!$B$2:$C$87,2,0)</f>
        <v>317994</v>
      </c>
      <c r="J40" s="7">
        <f t="shared" si="20"/>
        <v>7.0153501703108356E-2</v>
      </c>
      <c r="K40" s="85">
        <f t="shared" si="3"/>
        <v>365499.74387319456</v>
      </c>
      <c r="L40" s="6">
        <f>VLOOKUP(B40,[6]AKSoftSalesReport!$B$2:$C$87,2,0)</f>
        <v>391054.16000000009</v>
      </c>
      <c r="M40" s="7">
        <f t="shared" si="21"/>
        <v>8.6271497825643292E-2</v>
      </c>
      <c r="N40" s="85">
        <f t="shared" si="4"/>
        <v>449474.50367160153</v>
      </c>
      <c r="O40" s="6">
        <f>VLOOKUP(B40,[7]AKSoftSalesReport!$B$2:$C$89,2,0)</f>
        <v>446092.74000000005</v>
      </c>
      <c r="P40" s="7">
        <f t="shared" si="22"/>
        <v>9.8413705275364555E-2</v>
      </c>
      <c r="Q40" s="85">
        <f t="shared" si="5"/>
        <v>512735.40448464931</v>
      </c>
      <c r="R40" s="6">
        <f>VLOOKUP(B40,[8]AKSoftSalesReport!$B$2:$C$93,2,0)</f>
        <v>417422.40000000008</v>
      </c>
      <c r="S40" s="7">
        <f t="shared" si="23"/>
        <v>9.2088665350024163E-2</v>
      </c>
      <c r="T40" s="85">
        <f t="shared" si="6"/>
        <v>479781.9464736259</v>
      </c>
      <c r="U40" s="71">
        <f>VLOOKUP(B40,[9]AKSoftSalesReport!$B$2:$C$94,2,0)</f>
        <v>393452.52</v>
      </c>
      <c r="V40" s="7">
        <f t="shared" si="24"/>
        <v>8.6800606401102778E-2</v>
      </c>
      <c r="W40" s="85">
        <f t="shared" si="7"/>
        <v>452231.15934974549</v>
      </c>
      <c r="X40" s="71">
        <f>VLOOKUP(B40,[10]AKSoftSalesReport!$B$2:$C$94,2,0)</f>
        <v>378625.02</v>
      </c>
      <c r="Y40" s="7">
        <f t="shared" si="25"/>
        <v>8.3529472208310335E-2</v>
      </c>
      <c r="Z40" s="85">
        <f t="shared" si="8"/>
        <v>435188.55020529684</v>
      </c>
      <c r="AA40" s="71">
        <f>VLOOKUP(B40,[11]AKSoftSalesReport!$B$2:$C$94,2,0)</f>
        <v>402755.01</v>
      </c>
      <c r="AB40" s="7">
        <f t="shared" si="26"/>
        <v>8.8852853449972083E-2</v>
      </c>
      <c r="AC40" s="85">
        <f t="shared" si="9"/>
        <v>462923.36647435452</v>
      </c>
      <c r="AD40" s="51">
        <f>VLOOKUP(B40,[12]AKSoftSalesReport!$B$2:$C$89,2,0)</f>
        <v>392234.26000000013</v>
      </c>
      <c r="AE40" s="7">
        <f t="shared" si="27"/>
        <v>8.6531842823850305E-2</v>
      </c>
      <c r="AF40" s="85">
        <f t="shared" si="10"/>
        <v>450830.90111226006</v>
      </c>
      <c r="AG40" s="154">
        <f>VLOOKUP(B40,[13]AKSoftSalesReport!$B$2:$C$90,2,0)</f>
        <v>338896</v>
      </c>
      <c r="AH40" s="7">
        <f t="shared" si="28"/>
        <v>7.4764747489501723E-2</v>
      </c>
      <c r="AI40" s="85">
        <f t="shared" si="11"/>
        <v>389524.33442030399</v>
      </c>
      <c r="AJ40" s="104">
        <f>VLOOKUP(B40,[14]AKSoftSalesReport!$A:$D,4,0)</f>
        <v>416874.73642857146</v>
      </c>
      <c r="AK40" s="7">
        <f t="shared" si="29"/>
        <v>9.1967843833608925E-2</v>
      </c>
      <c r="AL40" s="85">
        <f t="shared" si="12"/>
        <v>479152.46637310251</v>
      </c>
      <c r="AM40" s="6">
        <f t="shared" si="13"/>
        <v>4532831.4664285723</v>
      </c>
      <c r="AN40" s="155"/>
      <c r="AO40" s="73">
        <v>4532831.4664285723</v>
      </c>
      <c r="AP40" s="87">
        <f t="shared" si="30"/>
        <v>5212756.1863928586</v>
      </c>
      <c r="AQ40" s="237">
        <v>0.15</v>
      </c>
      <c r="AR40" s="3">
        <v>5210000</v>
      </c>
      <c r="AS40" s="240">
        <f t="shared" si="31"/>
        <v>5210000</v>
      </c>
      <c r="AT40" s="31">
        <f t="shared" si="32"/>
        <v>0</v>
      </c>
      <c r="AV40" s="253">
        <f>VLOOKUP(B40,[17]AKSoftSalesReport!$A:$B,2,0)</f>
        <v>23092</v>
      </c>
      <c r="AW40" s="28">
        <f t="shared" si="14"/>
        <v>215216.5</v>
      </c>
      <c r="AX40" s="28">
        <f>VLOOKUP(B40,[18]AKSoftSalesReport!$A:$B,2,0)</f>
        <v>82834</v>
      </c>
      <c r="AY40" s="79">
        <f t="shared" si="15"/>
        <v>298050.5</v>
      </c>
      <c r="AZ40" s="28">
        <v>82834</v>
      </c>
      <c r="BA40" s="28">
        <f t="shared" si="16"/>
        <v>235160</v>
      </c>
      <c r="BB40" s="28">
        <f>VLOOKUP(B40,[19]AKSoftSalesReport!$A:$B,2,0)</f>
        <v>113922</v>
      </c>
      <c r="BC40" s="28">
        <f t="shared" si="17"/>
        <v>349082</v>
      </c>
    </row>
    <row r="41" spans="1:55" x14ac:dyDescent="0.3">
      <c r="A41" s="61">
        <v>38</v>
      </c>
      <c r="B41" s="90" t="s">
        <v>113</v>
      </c>
      <c r="C41" s="70">
        <f>VLOOKUP(B41,[3]AKSoftSalesReport!$B$2:$C$87,2,0)</f>
        <v>627271.83000000147</v>
      </c>
      <c r="D41" s="7">
        <f t="shared" si="18"/>
        <v>7.5947688381351797E-2</v>
      </c>
      <c r="E41" s="85">
        <f t="shared" si="1"/>
        <v>765172.96044211939</v>
      </c>
      <c r="F41" s="70">
        <f>VLOOKUP(B41,[4]AKSoftSalesReport!$B$2:$C$87,2,0)</f>
        <v>584907.5</v>
      </c>
      <c r="G41" s="7">
        <f t="shared" si="19"/>
        <v>7.0818376367890498E-2</v>
      </c>
      <c r="H41" s="85">
        <f t="shared" si="2"/>
        <v>713495.14190649672</v>
      </c>
      <c r="I41" s="70">
        <f>VLOOKUP(B41,[5]AKSoftSalesReport!$B$2:$C$87,2,0)</f>
        <v>389098</v>
      </c>
      <c r="J41" s="7">
        <f t="shared" si="20"/>
        <v>4.7110506546750475E-2</v>
      </c>
      <c r="K41" s="85">
        <f t="shared" si="3"/>
        <v>474638.35345851106</v>
      </c>
      <c r="L41" s="6">
        <f>VLOOKUP(B41,[6]AKSoftSalesReport!$B$2:$C$87,2,0)</f>
        <v>557744.74000000022</v>
      </c>
      <c r="M41" s="7">
        <f t="shared" si="21"/>
        <v>6.7529612655900711E-2</v>
      </c>
      <c r="N41" s="85">
        <f t="shared" si="4"/>
        <v>680360.84750819963</v>
      </c>
      <c r="O41" s="6">
        <f>VLOOKUP(B41,[7]AKSoftSalesReport!$B$2:$C$89,2,0)</f>
        <v>687728.86000000034</v>
      </c>
      <c r="P41" s="7">
        <f t="shared" si="22"/>
        <v>8.3267595725033949E-2</v>
      </c>
      <c r="Q41" s="85">
        <f t="shared" si="5"/>
        <v>838921.02692971705</v>
      </c>
      <c r="R41" s="6">
        <f>VLOOKUP(B41,[8]AKSoftSalesReport!$B$2:$C$93,2,0)</f>
        <v>713116.44000000064</v>
      </c>
      <c r="S41" s="7">
        <f t="shared" si="23"/>
        <v>8.6341427391596517E-2</v>
      </c>
      <c r="T41" s="85">
        <f t="shared" si="6"/>
        <v>869889.88097033487</v>
      </c>
      <c r="U41" s="71">
        <f>VLOOKUP(B41,[9]AKSoftSalesReport!$B$2:$C$94,2,0)</f>
        <v>760012</v>
      </c>
      <c r="V41" s="7">
        <f t="shared" si="24"/>
        <v>9.2019363506388938E-2</v>
      </c>
      <c r="W41" s="85">
        <f t="shared" si="7"/>
        <v>927095.08732686855</v>
      </c>
      <c r="X41" s="71">
        <f>VLOOKUP(B41,[10]AKSoftSalesReport!$B$2:$C$94,2,0)</f>
        <v>764190</v>
      </c>
      <c r="Y41" s="7">
        <f t="shared" si="25"/>
        <v>9.2525219862248709E-2</v>
      </c>
      <c r="Z41" s="85">
        <f t="shared" si="8"/>
        <v>932191.59011215577</v>
      </c>
      <c r="AA41" s="71">
        <f>VLOOKUP(B41,[11]AKSoftSalesReport!$B$2:$C$94,2,0)</f>
        <v>774474.29000000015</v>
      </c>
      <c r="AB41" s="7">
        <f t="shared" si="26"/>
        <v>9.3770402596093871E-2</v>
      </c>
      <c r="AC41" s="85">
        <f t="shared" si="9"/>
        <v>944736.80615564575</v>
      </c>
      <c r="AD41" s="51">
        <f>VLOOKUP(B41,[12]AKSoftSalesReport!$B$2:$C$89,2,0)</f>
        <v>854268.35000000079</v>
      </c>
      <c r="AE41" s="7">
        <f t="shared" si="27"/>
        <v>0.10343156401563813</v>
      </c>
      <c r="AF41" s="85">
        <f t="shared" si="10"/>
        <v>1042073.0074575542</v>
      </c>
      <c r="AG41" s="154">
        <f>VLOOKUP(B41,[13]AKSoftSalesReport!$B$2:$C$90,2,0)</f>
        <v>779192</v>
      </c>
      <c r="AH41" s="7">
        <f t="shared" si="28"/>
        <v>9.4341604986855745E-2</v>
      </c>
      <c r="AI41" s="85">
        <f t="shared" si="11"/>
        <v>950491.67024257162</v>
      </c>
      <c r="AJ41" s="104">
        <f>VLOOKUP(B41,[14]AKSoftSalesReport!$A:$D,4,0)</f>
        <v>767257.6392857146</v>
      </c>
      <c r="AK41" s="7">
        <f t="shared" si="29"/>
        <v>9.2896637964250586E-2</v>
      </c>
      <c r="AL41" s="85">
        <f t="shared" si="12"/>
        <v>935933.62748982466</v>
      </c>
      <c r="AM41" s="6">
        <f t="shared" si="13"/>
        <v>8259261.6492857188</v>
      </c>
      <c r="AN41" s="155"/>
      <c r="AO41" s="73">
        <v>8259261.6492857188</v>
      </c>
      <c r="AP41" s="87">
        <f t="shared" si="30"/>
        <v>10076299.212128578</v>
      </c>
      <c r="AQ41" s="237">
        <v>0.22</v>
      </c>
      <c r="AR41" s="1">
        <v>10075000</v>
      </c>
      <c r="AS41" s="240">
        <f t="shared" si="31"/>
        <v>10075000</v>
      </c>
      <c r="AT41" s="31">
        <f t="shared" si="32"/>
        <v>0</v>
      </c>
      <c r="AV41" s="253">
        <f>VLOOKUP(B41,[17]AKSoftSalesReport!$A:$B,2,0)</f>
        <v>189194</v>
      </c>
      <c r="AW41" s="28">
        <f t="shared" si="14"/>
        <v>395713.5</v>
      </c>
      <c r="AX41" s="28">
        <f>VLOOKUP(B41,[18]AKSoftSalesReport!$A:$B,2,0)</f>
        <v>125693</v>
      </c>
      <c r="AY41" s="79">
        <f t="shared" si="15"/>
        <v>521406.5</v>
      </c>
      <c r="AZ41" s="28">
        <v>125693</v>
      </c>
      <c r="BA41" s="28">
        <f t="shared" si="16"/>
        <v>263405</v>
      </c>
      <c r="BB41" s="28">
        <f>VLOOKUP(B41,[19]AKSoftSalesReport!$A:$B,2,0)</f>
        <v>143437</v>
      </c>
      <c r="BC41" s="28">
        <f t="shared" si="17"/>
        <v>406842</v>
      </c>
    </row>
    <row r="42" spans="1:55" x14ac:dyDescent="0.3">
      <c r="A42" s="239">
        <v>39</v>
      </c>
      <c r="B42" s="89" t="s">
        <v>118</v>
      </c>
      <c r="C42" s="70">
        <f>VLOOKUP(B42,[3]AKSoftSalesReport!$B$2:$C$87,2,0)</f>
        <v>664149.47</v>
      </c>
      <c r="D42" s="7">
        <f t="shared" si="18"/>
        <v>7.4017518260905926E-2</v>
      </c>
      <c r="E42" s="85">
        <f t="shared" si="1"/>
        <v>763860.78845254914</v>
      </c>
      <c r="F42" s="70">
        <f>VLOOKUP(B42,[4]AKSoftSalesReport!$B$2:$C$87,2,0)</f>
        <v>686390.14999999991</v>
      </c>
      <c r="G42" s="7">
        <f t="shared" si="19"/>
        <v>7.6496177075517272E-2</v>
      </c>
      <c r="H42" s="85">
        <f t="shared" si="2"/>
        <v>789440.54741933825</v>
      </c>
      <c r="I42" s="70">
        <f>VLOOKUP(B42,[5]AKSoftSalesReport!$B$2:$C$87,2,0)</f>
        <v>598398.69999999995</v>
      </c>
      <c r="J42" s="7">
        <f t="shared" si="20"/>
        <v>6.6689787021214308E-2</v>
      </c>
      <c r="K42" s="85">
        <f t="shared" si="3"/>
        <v>688238.60205893172</v>
      </c>
      <c r="L42" s="6">
        <f>VLOOKUP(B42,[6]AKSoftSalesReport!$B$2:$C$87,2,0)</f>
        <v>707609.28</v>
      </c>
      <c r="M42" s="7">
        <f t="shared" si="21"/>
        <v>7.886098712686844E-2</v>
      </c>
      <c r="N42" s="85">
        <f t="shared" si="4"/>
        <v>813845.38714928227</v>
      </c>
      <c r="O42" s="6">
        <f>VLOOKUP(B42,[7]AKSoftSalesReport!$B$2:$C$89,2,0)</f>
        <v>810326.5</v>
      </c>
      <c r="P42" s="7">
        <f t="shared" si="22"/>
        <v>9.0308521229484656E-2</v>
      </c>
      <c r="Q42" s="85">
        <f t="shared" si="5"/>
        <v>931983.93908828171</v>
      </c>
      <c r="R42" s="6">
        <f>VLOOKUP(B42,[8]AKSoftSalesReport!$B$2:$C$93,2,0)</f>
        <v>652362.4</v>
      </c>
      <c r="S42" s="7">
        <f t="shared" si="23"/>
        <v>7.2703883742809311E-2</v>
      </c>
      <c r="T42" s="85">
        <f t="shared" si="6"/>
        <v>750304.08022579213</v>
      </c>
      <c r="U42" s="71">
        <f>VLOOKUP(B42,[9]AKSoftSalesReport!$B$2:$C$94,2,0)</f>
        <v>662310.16</v>
      </c>
      <c r="V42" s="7">
        <f t="shared" si="24"/>
        <v>7.3812532534556607E-2</v>
      </c>
      <c r="W42" s="85">
        <f t="shared" si="7"/>
        <v>761745.33575662423</v>
      </c>
      <c r="X42" s="71">
        <f>VLOOKUP(B42,[10]AKSoftSalesReport!$B$2:$C$94,2,0)</f>
        <v>729812.03</v>
      </c>
      <c r="Y42" s="7">
        <f t="shared" si="25"/>
        <v>8.1335418753784181E-2</v>
      </c>
      <c r="Z42" s="85">
        <f t="shared" si="8"/>
        <v>839381.52153905272</v>
      </c>
      <c r="AA42" s="71">
        <f>VLOOKUP(B42,[11]AKSoftSalesReport!$B$2:$C$94,2,0)</f>
        <v>765782</v>
      </c>
      <c r="AB42" s="7">
        <f t="shared" si="26"/>
        <v>8.5344166831711935E-2</v>
      </c>
      <c r="AC42" s="85">
        <f t="shared" si="9"/>
        <v>880751.80170326715</v>
      </c>
      <c r="AD42" s="51">
        <f>VLOOKUP(B42,[12]AKSoftSalesReport!$B$2:$C$89,2,0)</f>
        <v>922986.7500000007</v>
      </c>
      <c r="AE42" s="7">
        <f t="shared" si="27"/>
        <v>0.10286417697916594</v>
      </c>
      <c r="AF42" s="85">
        <f t="shared" si="10"/>
        <v>1061558.3064249926</v>
      </c>
      <c r="AG42" s="154">
        <f>VLOOKUP(B42,[13]AKSoftSalesReport!$B$2:$C$90,2,0)</f>
        <v>831457</v>
      </c>
      <c r="AH42" s="7">
        <f t="shared" si="28"/>
        <v>9.2663453726249387E-2</v>
      </c>
      <c r="AI42" s="85">
        <f t="shared" si="11"/>
        <v>956286.84245489363</v>
      </c>
      <c r="AJ42" s="104">
        <f>VLOOKUP(B42,[14]AKSoftSalesReport!$A:$D,4,0)</f>
        <v>941284.22142857139</v>
      </c>
      <c r="AK42" s="7">
        <f t="shared" si="29"/>
        <v>0.10490337671773177</v>
      </c>
      <c r="AL42" s="85">
        <f t="shared" si="12"/>
        <v>1082602.8477269919</v>
      </c>
      <c r="AM42" s="6">
        <f t="shared" si="13"/>
        <v>8972868.6614285745</v>
      </c>
      <c r="AN42" s="155"/>
      <c r="AO42" s="73">
        <v>8972868.6614285745</v>
      </c>
      <c r="AP42" s="87">
        <f t="shared" si="30"/>
        <v>10318798.960642861</v>
      </c>
      <c r="AQ42" s="237">
        <v>0.15</v>
      </c>
      <c r="AR42" s="1">
        <v>10320000</v>
      </c>
      <c r="AS42" s="240">
        <f t="shared" si="31"/>
        <v>10319999.999999996</v>
      </c>
      <c r="AT42" s="31">
        <f t="shared" si="32"/>
        <v>0</v>
      </c>
      <c r="AV42" s="253">
        <f>VLOOKUP(B42,[17]AKSoftSalesReport!$A:$B,2,0)</f>
        <v>247645.01</v>
      </c>
      <c r="AW42" s="28">
        <f t="shared" si="14"/>
        <v>438745.1399999999</v>
      </c>
      <c r="AX42" s="28">
        <f>VLOOKUP(B42,[18]AKSoftSalesReport!$A:$B,2,0)</f>
        <v>174628.7</v>
      </c>
      <c r="AY42" s="79">
        <f t="shared" si="15"/>
        <v>613373.83999999985</v>
      </c>
      <c r="AZ42" s="28">
        <v>174628.7</v>
      </c>
      <c r="BA42" s="28">
        <f t="shared" si="16"/>
        <v>423769.99999999994</v>
      </c>
      <c r="BB42" s="28">
        <f>VLOOKUP(B42,[19]AKSoftSalesReport!$A:$B,2,0)</f>
        <v>191702.72</v>
      </c>
      <c r="BC42" s="28">
        <f t="shared" si="17"/>
        <v>615472.72</v>
      </c>
    </row>
    <row r="43" spans="1:55" x14ac:dyDescent="0.3">
      <c r="A43" s="61">
        <v>40</v>
      </c>
      <c r="B43" s="90" t="s">
        <v>114</v>
      </c>
      <c r="C43" s="70">
        <f>VLOOKUP(B43,[3]AKSoftSalesReport!$B$2:$C$87,2,0)</f>
        <v>1817133.6500000001</v>
      </c>
      <c r="D43" s="7">
        <f t="shared" si="18"/>
        <v>7.1440625366127886E-2</v>
      </c>
      <c r="E43" s="85">
        <f t="shared" si="1"/>
        <v>1908179.1035292759</v>
      </c>
      <c r="F43" s="70">
        <f>VLOOKUP(B43,[4]AKSoftSalesReport!$B$2:$C$87,2,0)</f>
        <v>1619187.5</v>
      </c>
      <c r="G43" s="7">
        <f t="shared" si="19"/>
        <v>6.3658370745056203E-2</v>
      </c>
      <c r="H43" s="85">
        <f t="shared" si="2"/>
        <v>1700315.0826004511</v>
      </c>
      <c r="I43" s="70">
        <f>VLOOKUP(B43,[5]AKSoftSalesReport!$B$2:$C$87,2,0)</f>
        <v>1176480</v>
      </c>
      <c r="J43" s="7">
        <f t="shared" si="20"/>
        <v>4.625332150485581E-2</v>
      </c>
      <c r="K43" s="85">
        <f t="shared" si="3"/>
        <v>1235426.2173946986</v>
      </c>
      <c r="L43" s="6">
        <f>VLOOKUP(B43,[6]AKSoftSalesReport!$B$2:$C$87,2,0)</f>
        <v>1279606.02</v>
      </c>
      <c r="M43" s="7">
        <f t="shared" si="21"/>
        <v>5.0307721884442533E-2</v>
      </c>
      <c r="N43" s="85">
        <f t="shared" si="4"/>
        <v>1343719.2515334601</v>
      </c>
      <c r="O43" s="6">
        <f>VLOOKUP(B43,[7]AKSoftSalesReport!$B$2:$C$89,2,0)</f>
        <v>1551201.9000000004</v>
      </c>
      <c r="P43" s="7">
        <f t="shared" si="22"/>
        <v>6.0985516285566442E-2</v>
      </c>
      <c r="Q43" s="85">
        <f t="shared" si="5"/>
        <v>1628923.1399874797</v>
      </c>
      <c r="R43" s="6">
        <f>VLOOKUP(B43,[8]AKSoftSalesReport!$B$2:$C$93,2,0)</f>
        <v>2000946.9500000007</v>
      </c>
      <c r="S43" s="7">
        <f t="shared" si="23"/>
        <v>7.8667246865659152E-2</v>
      </c>
      <c r="T43" s="85">
        <f t="shared" si="6"/>
        <v>2101202.1637817561</v>
      </c>
      <c r="U43" s="71">
        <f>VLOOKUP(B43,[9]AKSoftSalesReport!$B$2:$C$94,2,0)</f>
        <v>2275485.1800000002</v>
      </c>
      <c r="V43" s="7">
        <f t="shared" si="24"/>
        <v>8.9460719782805231E-2</v>
      </c>
      <c r="W43" s="85">
        <f t="shared" si="7"/>
        <v>2389495.8253987278</v>
      </c>
      <c r="X43" s="71">
        <f>VLOOKUP(B43,[10]AKSoftSalesReport!$B$2:$C$94,2,0)</f>
        <v>2813458.2299999986</v>
      </c>
      <c r="Y43" s="7">
        <f t="shared" si="25"/>
        <v>0.11061113495569197</v>
      </c>
      <c r="Z43" s="85">
        <f t="shared" si="8"/>
        <v>2954423.4146665325</v>
      </c>
      <c r="AA43" s="71">
        <f>VLOOKUP(B43,[11]AKSoftSalesReport!$B$2:$C$94,2,0)</f>
        <v>2983321.3</v>
      </c>
      <c r="AB43" s="7">
        <f t="shared" si="26"/>
        <v>0.1172893030405824</v>
      </c>
      <c r="AC43" s="85">
        <f t="shared" si="9"/>
        <v>3132797.284213956</v>
      </c>
      <c r="AD43" s="51">
        <f>VLOOKUP(B43,[12]AKSoftSalesReport!$B$2:$C$89,2,0)</f>
        <v>3073323.1999999997</v>
      </c>
      <c r="AE43" s="7">
        <f t="shared" si="27"/>
        <v>0.1208277285274142</v>
      </c>
      <c r="AF43" s="85">
        <f t="shared" si="10"/>
        <v>3227308.6289672335</v>
      </c>
      <c r="AG43" s="154">
        <f>VLOOKUP(B43,[13]AKSoftSalesReport!$B$2:$C$90,2,0)</f>
        <v>2775784</v>
      </c>
      <c r="AH43" s="7">
        <f t="shared" si="28"/>
        <v>0.10912997227325129</v>
      </c>
      <c r="AI43" s="85">
        <f t="shared" si="11"/>
        <v>2914861.5594185418</v>
      </c>
      <c r="AJ43" s="104">
        <f>VLOOKUP(B43,[14]AKSoftSalesReport!$A:$D,4,0)</f>
        <v>2069650.7857142854</v>
      </c>
      <c r="AK43" s="7">
        <f t="shared" si="29"/>
        <v>8.1368338768547085E-2</v>
      </c>
      <c r="AL43" s="85">
        <f t="shared" si="12"/>
        <v>2173348.3285078928</v>
      </c>
      <c r="AM43" s="6">
        <f t="shared" si="13"/>
        <v>25435578.71571428</v>
      </c>
      <c r="AN43" s="155"/>
      <c r="AO43" s="73">
        <v>25435578.71571428</v>
      </c>
      <c r="AP43" s="87">
        <f t="shared" si="30"/>
        <v>26707357.651499994</v>
      </c>
      <c r="AQ43" s="237">
        <v>0.05</v>
      </c>
      <c r="AR43" s="1">
        <v>26710000</v>
      </c>
      <c r="AS43" s="240">
        <f t="shared" si="31"/>
        <v>26710000.000000004</v>
      </c>
      <c r="AT43" s="31">
        <f t="shared" si="32"/>
        <v>0</v>
      </c>
      <c r="AV43" s="253">
        <f>VLOOKUP(B43,[17]AKSoftSalesReport!$A:$B,2,0)</f>
        <v>549877.5</v>
      </c>
      <c r="AW43" s="28">
        <f t="shared" si="14"/>
        <v>1069310</v>
      </c>
      <c r="AX43" s="28">
        <f>VLOOKUP(B43,[18]AKSoftSalesReport!$A:$B,2,0)</f>
        <v>390155</v>
      </c>
      <c r="AY43" s="79">
        <f t="shared" si="15"/>
        <v>1459465</v>
      </c>
      <c r="AZ43" s="28">
        <v>390155</v>
      </c>
      <c r="BA43" s="28">
        <f t="shared" si="16"/>
        <v>786325</v>
      </c>
      <c r="BB43" s="28">
        <f>VLOOKUP(B43,[19]AKSoftSalesReport!$A:$B,2,0)</f>
        <v>356051</v>
      </c>
      <c r="BC43" s="28">
        <f t="shared" si="17"/>
        <v>1142376</v>
      </c>
    </row>
    <row r="44" spans="1:55" x14ac:dyDescent="0.3">
      <c r="A44" s="239">
        <v>41</v>
      </c>
      <c r="B44" s="89" t="s">
        <v>115</v>
      </c>
      <c r="C44" s="70">
        <f>VLOOKUP(B44,[3]AKSoftSalesReport!$B$2:$C$87,2,0)</f>
        <v>958298.30000000133</v>
      </c>
      <c r="D44" s="7">
        <f t="shared" si="18"/>
        <v>8.4082878031338154E-2</v>
      </c>
      <c r="E44" s="85">
        <f t="shared" si="1"/>
        <v>1245687.8380342748</v>
      </c>
      <c r="F44" s="70">
        <f>VLOOKUP(B44,[4]AKSoftSalesReport!$B$2:$C$87,2,0)</f>
        <v>925573.5</v>
      </c>
      <c r="G44" s="7">
        <f t="shared" si="19"/>
        <v>8.1211543117146984E-2</v>
      </c>
      <c r="H44" s="85">
        <f t="shared" si="2"/>
        <v>1203149.0112805325</v>
      </c>
      <c r="I44" s="70">
        <f>VLOOKUP(B44,[5]AKSoftSalesReport!$B$2:$C$87,2,0)</f>
        <v>638491</v>
      </c>
      <c r="J44" s="7">
        <f t="shared" si="20"/>
        <v>5.6022389768516812E-2</v>
      </c>
      <c r="K44" s="85">
        <f t="shared" si="3"/>
        <v>829971.70442057657</v>
      </c>
      <c r="L44" s="6">
        <f>VLOOKUP(B44,[6]AKSoftSalesReport!$B$2:$C$87,2,0)</f>
        <v>849020.56</v>
      </c>
      <c r="M44" s="7">
        <f t="shared" si="21"/>
        <v>7.449464555303742E-2</v>
      </c>
      <c r="N44" s="85">
        <f t="shared" si="4"/>
        <v>1103638.1738682494</v>
      </c>
      <c r="O44" s="6">
        <f>VLOOKUP(B44,[7]AKSoftSalesReport!$B$2:$C$89,2,0)</f>
        <v>1069102.330000001</v>
      </c>
      <c r="P44" s="7">
        <f t="shared" si="22"/>
        <v>9.3805030037525258E-2</v>
      </c>
      <c r="Q44" s="85">
        <f t="shared" si="5"/>
        <v>1389721.5200059367</v>
      </c>
      <c r="R44" s="6">
        <f>VLOOKUP(B44,[8]AKSoftSalesReport!$B$2:$C$93,2,0)</f>
        <v>960245.00000000151</v>
      </c>
      <c r="S44" s="7">
        <f t="shared" si="23"/>
        <v>8.4253685115795701E-2</v>
      </c>
      <c r="T44" s="85">
        <f t="shared" si="6"/>
        <v>1248218.3449905133</v>
      </c>
      <c r="U44" s="71">
        <f>VLOOKUP(B44,[9]AKSoftSalesReport!$B$2:$C$94,2,0)</f>
        <v>1084985.52</v>
      </c>
      <c r="V44" s="7">
        <f t="shared" si="24"/>
        <v>9.5198650716512678E-2</v>
      </c>
      <c r="W44" s="85">
        <f t="shared" si="7"/>
        <v>1410368.0103651353</v>
      </c>
      <c r="X44" s="71">
        <f>VLOOKUP(B44,[10]AKSoftSalesReport!$B$2:$C$94,2,0)</f>
        <v>1061794.1900000002</v>
      </c>
      <c r="Y44" s="7">
        <f t="shared" si="25"/>
        <v>9.316380021977852E-2</v>
      </c>
      <c r="Z44" s="85">
        <f t="shared" si="8"/>
        <v>1380221.7002560187</v>
      </c>
      <c r="AA44" s="71">
        <f>VLOOKUP(B44,[11]AKSoftSalesReport!$B$2:$C$94,2,0)</f>
        <v>967527</v>
      </c>
      <c r="AB44" s="7">
        <f t="shared" si="26"/>
        <v>8.4892621361246701E-2</v>
      </c>
      <c r="AC44" s="85">
        <f t="shared" si="9"/>
        <v>1257684.18546687</v>
      </c>
      <c r="AD44" s="51">
        <f>VLOOKUP(B44,[12]AKSoftSalesReport!$B$2:$C$89,2,0)</f>
        <v>1011012.05</v>
      </c>
      <c r="AE44" s="7">
        <f t="shared" si="27"/>
        <v>8.8708080655431648E-2</v>
      </c>
      <c r="AF44" s="85">
        <f t="shared" si="10"/>
        <v>1314210.2149102199</v>
      </c>
      <c r="AG44" s="154">
        <f>VLOOKUP(B44,[13]AKSoftSalesReport!$B$2:$C$90,2,0)</f>
        <v>893925</v>
      </c>
      <c r="AH44" s="7">
        <f t="shared" si="28"/>
        <v>7.8434644769967615E-2</v>
      </c>
      <c r="AI44" s="85">
        <f t="shared" si="11"/>
        <v>1162009.2622670701</v>
      </c>
      <c r="AJ44" s="104">
        <f>VLOOKUP(B44,[14]AKSoftSalesReport!$A:$D,4,0)</f>
        <v>977093.80500000017</v>
      </c>
      <c r="AK44" s="7">
        <f t="shared" si="29"/>
        <v>8.573203065370251E-2</v>
      </c>
      <c r="AL44" s="85">
        <f t="shared" si="12"/>
        <v>1270120.0341346026</v>
      </c>
      <c r="AM44" s="6">
        <f t="shared" si="13"/>
        <v>11397068.255000005</v>
      </c>
      <c r="AN44" s="155"/>
      <c r="AO44" s="73">
        <v>11397068.255000005</v>
      </c>
      <c r="AP44" s="87">
        <f t="shared" si="30"/>
        <v>14816188.731500005</v>
      </c>
      <c r="AQ44" s="237">
        <v>0.3</v>
      </c>
      <c r="AR44" s="1">
        <v>14815000</v>
      </c>
      <c r="AS44" s="240">
        <f t="shared" si="31"/>
        <v>14815000</v>
      </c>
      <c r="AT44" s="31">
        <f t="shared" si="32"/>
        <v>0</v>
      </c>
      <c r="AV44" s="253">
        <f>VLOOKUP(B44,[17]AKSoftSalesReport!$A:$B,2,0)</f>
        <v>340366</v>
      </c>
      <c r="AW44" s="28">
        <f t="shared" si="14"/>
        <v>585207.5</v>
      </c>
      <c r="AX44" s="28">
        <f>VLOOKUP(B44,[18]AKSoftSalesReport!$A:$B,2,0)</f>
        <v>184684</v>
      </c>
      <c r="AY44" s="79">
        <f t="shared" si="15"/>
        <v>769891.5</v>
      </c>
      <c r="AZ44" s="28">
        <v>184684</v>
      </c>
      <c r="BA44" s="28">
        <f t="shared" si="16"/>
        <v>453807</v>
      </c>
      <c r="BB44" s="28">
        <f>VLOOKUP(B44,[19]AKSoftSalesReport!$A:$B,2,0)</f>
        <v>276701.5</v>
      </c>
      <c r="BC44" s="28">
        <f t="shared" si="17"/>
        <v>730508.5</v>
      </c>
    </row>
    <row r="45" spans="1:55" x14ac:dyDescent="0.3">
      <c r="A45" s="61">
        <v>42</v>
      </c>
      <c r="B45" s="90" t="s">
        <v>116</v>
      </c>
      <c r="C45" s="70">
        <f>VLOOKUP(B45,[3]AKSoftSalesReport!$B$2:$C$87,2,0)</f>
        <v>802605.81000000064</v>
      </c>
      <c r="D45" s="7">
        <f t="shared" si="18"/>
        <v>7.453450452087669E-2</v>
      </c>
      <c r="E45" s="85">
        <f t="shared" si="1"/>
        <v>922737.1659684534</v>
      </c>
      <c r="F45" s="70">
        <f>VLOOKUP(B45,[4]AKSoftSalesReport!$B$2:$C$87,2,0)</f>
        <v>746804</v>
      </c>
      <c r="G45" s="7">
        <f t="shared" si="19"/>
        <v>6.9352433561636881E-2</v>
      </c>
      <c r="H45" s="85">
        <f t="shared" si="2"/>
        <v>858583.12749306462</v>
      </c>
      <c r="I45" s="70">
        <f>VLOOKUP(B45,[5]AKSoftSalesReport!$B$2:$C$87,2,0)</f>
        <v>560040.5</v>
      </c>
      <c r="J45" s="7">
        <f t="shared" si="20"/>
        <v>5.2008521068547975E-2</v>
      </c>
      <c r="K45" s="85">
        <f t="shared" si="3"/>
        <v>643865.49082862388</v>
      </c>
      <c r="L45" s="6">
        <f>VLOOKUP(B45,[6]AKSoftSalesReport!$B$2:$C$87,2,0)</f>
        <v>799310</v>
      </c>
      <c r="M45" s="7">
        <f t="shared" si="21"/>
        <v>7.422843700643271E-2</v>
      </c>
      <c r="N45" s="85">
        <f t="shared" si="4"/>
        <v>918948.05013963697</v>
      </c>
      <c r="O45" s="6">
        <f>VLOOKUP(B45,[7]AKSoftSalesReport!$B$2:$C$89,2,0)</f>
        <v>904814.43000000017</v>
      </c>
      <c r="P45" s="7">
        <f t="shared" si="22"/>
        <v>8.4026173724545336E-2</v>
      </c>
      <c r="Q45" s="85">
        <f t="shared" si="5"/>
        <v>1040244.0307098712</v>
      </c>
      <c r="R45" s="6">
        <f>VLOOKUP(B45,[8]AKSoftSalesReport!$B$2:$C$93,2,0)</f>
        <v>967855.92000000237</v>
      </c>
      <c r="S45" s="7">
        <f t="shared" si="23"/>
        <v>8.9880562221194726E-2</v>
      </c>
      <c r="T45" s="85">
        <f t="shared" si="6"/>
        <v>1112721.3602983907</v>
      </c>
      <c r="U45" s="71">
        <f>VLOOKUP(B45,[9]AKSoftSalesReport!$B$2:$C$94,2,0)</f>
        <v>1046154.3700000001</v>
      </c>
      <c r="V45" s="7">
        <f t="shared" si="24"/>
        <v>9.7151798116562174E-2</v>
      </c>
      <c r="W45" s="85">
        <f t="shared" si="7"/>
        <v>1202739.2606830397</v>
      </c>
      <c r="X45" s="71">
        <f>VLOOKUP(B45,[10]AKSoftSalesReport!$B$2:$C$94,2,0)</f>
        <v>1032343.3300000003</v>
      </c>
      <c r="Y45" s="7">
        <f t="shared" si="25"/>
        <v>9.5869227008189561E-2</v>
      </c>
      <c r="Z45" s="85">
        <f t="shared" si="8"/>
        <v>1186861.0303613867</v>
      </c>
      <c r="AA45" s="71">
        <f>VLOOKUP(B45,[11]AKSoftSalesReport!$B$2:$C$94,2,0)</f>
        <v>1012185.2700000001</v>
      </c>
      <c r="AB45" s="7">
        <f t="shared" si="26"/>
        <v>9.399723580717631E-2</v>
      </c>
      <c r="AC45" s="85">
        <f t="shared" si="9"/>
        <v>1163685.7792928426</v>
      </c>
      <c r="AD45" s="51">
        <f>VLOOKUP(B45,[12]AKSoftSalesReport!$B$2:$C$89,2,0)</f>
        <v>1005618.0000000007</v>
      </c>
      <c r="AE45" s="7">
        <f t="shared" si="27"/>
        <v>9.3387362056692527E-2</v>
      </c>
      <c r="AF45" s="85">
        <f t="shared" si="10"/>
        <v>1156135.5422618536</v>
      </c>
      <c r="AG45" s="154">
        <f>VLOOKUP(B45,[13]AKSoftSalesReport!$B$2:$C$90,2,0)</f>
        <v>966120</v>
      </c>
      <c r="AH45" s="7">
        <f t="shared" si="28"/>
        <v>8.9719354894414904E-2</v>
      </c>
      <c r="AI45" s="85">
        <f t="shared" si="11"/>
        <v>1110725.6135928566</v>
      </c>
      <c r="AJ45" s="104">
        <f>VLOOKUP(B45,[14]AKSoftSalesReport!$A:$D,4,0)</f>
        <v>924393.42857142864</v>
      </c>
      <c r="AK45" s="7">
        <f t="shared" si="29"/>
        <v>8.5844390013730149E-2</v>
      </c>
      <c r="AL45" s="85">
        <f t="shared" si="12"/>
        <v>1062753.5483699793</v>
      </c>
      <c r="AM45" s="6">
        <f t="shared" si="13"/>
        <v>10768245.058571434</v>
      </c>
      <c r="AN45" s="155"/>
      <c r="AO45" s="73">
        <v>10768245.058571434</v>
      </c>
      <c r="AP45" s="87">
        <f t="shared" si="30"/>
        <v>12383481.817357149</v>
      </c>
      <c r="AQ45" s="237">
        <v>0.15</v>
      </c>
      <c r="AR45" s="1">
        <v>12380000</v>
      </c>
      <c r="AS45" s="240">
        <f t="shared" si="31"/>
        <v>12380000.000000002</v>
      </c>
      <c r="AT45" s="31">
        <f t="shared" si="32"/>
        <v>0</v>
      </c>
      <c r="AV45" s="253">
        <f>VLOOKUP(B45,[17]AKSoftSalesReport!$A:$B,2,0)</f>
        <v>287265</v>
      </c>
      <c r="AW45" s="28">
        <f t="shared" si="14"/>
        <v>459539</v>
      </c>
      <c r="AX45" s="28">
        <f>VLOOKUP(B45,[18]AKSoftSalesReport!$A:$B,2,0)</f>
        <v>159953.5</v>
      </c>
      <c r="AY45" s="79">
        <f t="shared" si="15"/>
        <v>619492.5</v>
      </c>
      <c r="AZ45" s="28">
        <v>159953.5</v>
      </c>
      <c r="BA45" s="28">
        <f t="shared" si="16"/>
        <v>400087</v>
      </c>
      <c r="BB45" s="28">
        <f>VLOOKUP(B45,[19]AKSoftSalesReport!$A:$B,2,0)</f>
        <v>267420</v>
      </c>
      <c r="BC45" s="28">
        <f t="shared" si="17"/>
        <v>667507</v>
      </c>
    </row>
    <row r="46" spans="1:55" x14ac:dyDescent="0.3">
      <c r="A46" s="239">
        <v>43</v>
      </c>
      <c r="B46" s="89" t="s">
        <v>121</v>
      </c>
      <c r="C46" s="70">
        <f>VLOOKUP(B46,[3]AKSoftSalesReport!$B$2:$C$87,2,0)</f>
        <v>347971.29000000085</v>
      </c>
      <c r="D46" s="7">
        <f t="shared" si="18"/>
        <v>6.0084759298283996E-2</v>
      </c>
      <c r="E46" s="85">
        <f t="shared" si="1"/>
        <v>469862.81771258084</v>
      </c>
      <c r="F46" s="70">
        <f>VLOOKUP(B46,[4]AKSoftSalesReport!$B$2:$C$87,2,0)</f>
        <v>351865.5</v>
      </c>
      <c r="G46" s="7">
        <f t="shared" si="19"/>
        <v>6.0757178768599832E-2</v>
      </c>
      <c r="H46" s="85">
        <f t="shared" si="2"/>
        <v>475121.13797045068</v>
      </c>
      <c r="I46" s="70">
        <f>VLOOKUP(B46,[5]AKSoftSalesReport!$B$2:$C$87,2,0)</f>
        <v>267126</v>
      </c>
      <c r="J46" s="7">
        <f t="shared" si="20"/>
        <v>4.6125073744771795E-2</v>
      </c>
      <c r="K46" s="85">
        <f t="shared" si="3"/>
        <v>360698.07668411545</v>
      </c>
      <c r="L46" s="6">
        <f>VLOOKUP(B46,[6]AKSoftSalesReport!$B$2:$C$87,2,0)</f>
        <v>383517</v>
      </c>
      <c r="M46" s="7">
        <f t="shared" si="21"/>
        <v>6.6222493906896537E-2</v>
      </c>
      <c r="N46" s="85">
        <f t="shared" si="4"/>
        <v>517859.90235193091</v>
      </c>
      <c r="O46" s="6">
        <f>VLOOKUP(B46,[7]AKSoftSalesReport!$B$2:$C$89,2,0)</f>
        <v>455333.58000000031</v>
      </c>
      <c r="P46" s="7">
        <f t="shared" si="22"/>
        <v>7.8623177661369392E-2</v>
      </c>
      <c r="Q46" s="85">
        <f t="shared" si="5"/>
        <v>614833.24931190861</v>
      </c>
      <c r="R46" s="6">
        <f>VLOOKUP(B46,[8]AKSoftSalesReport!$B$2:$C$93,2,0)</f>
        <v>503930.71000000043</v>
      </c>
      <c r="S46" s="7">
        <f t="shared" si="23"/>
        <v>8.7014521839900383E-2</v>
      </c>
      <c r="T46" s="85">
        <f t="shared" si="6"/>
        <v>680453.56078802096</v>
      </c>
      <c r="U46" s="71">
        <f>VLOOKUP(B46,[9]AKSoftSalesReport!$B$2:$C$94,2,0)</f>
        <v>564574.73000000033</v>
      </c>
      <c r="V46" s="7">
        <f t="shared" si="24"/>
        <v>9.7486021786290511E-2</v>
      </c>
      <c r="W46" s="85">
        <f t="shared" si="7"/>
        <v>762340.69036879181</v>
      </c>
      <c r="X46" s="71">
        <f>VLOOKUP(B46,[10]AKSoftSalesReport!$B$2:$C$94,2,0)</f>
        <v>542879.51000000024</v>
      </c>
      <c r="Y46" s="7">
        <f t="shared" si="25"/>
        <v>9.373987344277826E-2</v>
      </c>
      <c r="Z46" s="85">
        <f t="shared" si="8"/>
        <v>733045.81032252603</v>
      </c>
      <c r="AA46" s="71">
        <f>VLOOKUP(B46,[11]AKSoftSalesReport!$B$2:$C$94,2,0)</f>
        <v>573544.1</v>
      </c>
      <c r="AB46" s="7">
        <f t="shared" si="26"/>
        <v>9.9034777252602763E-2</v>
      </c>
      <c r="AC46" s="85">
        <f t="shared" si="9"/>
        <v>774451.9581153536</v>
      </c>
      <c r="AD46" s="51">
        <f>VLOOKUP(B46,[12]AKSoftSalesReport!$B$2:$C$89,2,0)</f>
        <v>619303.19999999995</v>
      </c>
      <c r="AE46" s="7">
        <f t="shared" si="27"/>
        <v>0.10693607425100198</v>
      </c>
      <c r="AF46" s="85">
        <f t="shared" si="10"/>
        <v>836240.10064283549</v>
      </c>
      <c r="AG46" s="154">
        <f>VLOOKUP(B46,[13]AKSoftSalesReport!$B$2:$C$90,2,0)</f>
        <v>604708</v>
      </c>
      <c r="AH46" s="7">
        <f t="shared" si="28"/>
        <v>0.10441589771887971</v>
      </c>
      <c r="AI46" s="85">
        <f t="shared" si="11"/>
        <v>816532.32016163936</v>
      </c>
      <c r="AJ46" s="104">
        <f>VLOOKUP(B46,[14]AKSoftSalesReport!$A:$D,4,0)</f>
        <v>576586.7142857142</v>
      </c>
      <c r="AK46" s="7">
        <f t="shared" si="29"/>
        <v>9.9560150328624808E-2</v>
      </c>
      <c r="AL46" s="85">
        <f t="shared" si="12"/>
        <v>778560.37556984602</v>
      </c>
      <c r="AM46" s="6">
        <f t="shared" si="13"/>
        <v>5791340.3342857165</v>
      </c>
      <c r="AN46" s="155"/>
      <c r="AO46" s="104">
        <v>5791340.3342857165</v>
      </c>
      <c r="AP46" s="87">
        <f t="shared" si="30"/>
        <v>7818309.4512857171</v>
      </c>
      <c r="AQ46" s="237">
        <v>0.35</v>
      </c>
      <c r="AR46" s="1">
        <v>7820000</v>
      </c>
      <c r="AS46" s="240">
        <f t="shared" si="31"/>
        <v>7820000</v>
      </c>
      <c r="AT46" s="31">
        <f t="shared" si="32"/>
        <v>0</v>
      </c>
      <c r="AV46" s="253">
        <f>VLOOKUP(B46,[17]AKSoftSalesReport!$A:$B,2,0)</f>
        <v>132286.5</v>
      </c>
      <c r="AW46" s="28">
        <f t="shared" si="14"/>
        <v>219579</v>
      </c>
      <c r="AX46" s="28">
        <f>VLOOKUP(B46,[18]AKSoftSalesReport!$A:$B,2,0)</f>
        <v>73508</v>
      </c>
      <c r="AY46" s="79">
        <f t="shared" si="15"/>
        <v>293087</v>
      </c>
      <c r="AZ46" s="28">
        <v>73508</v>
      </c>
      <c r="BA46" s="28">
        <f t="shared" si="16"/>
        <v>193618</v>
      </c>
      <c r="BB46" s="28">
        <f>VLOOKUP(B46,[19]AKSoftSalesReport!$A:$B,2,0)</f>
        <v>121417</v>
      </c>
      <c r="BC46" s="28">
        <f t="shared" si="17"/>
        <v>315035</v>
      </c>
    </row>
    <row r="47" spans="1:55" x14ac:dyDescent="0.3">
      <c r="A47" s="61">
        <v>44</v>
      </c>
      <c r="B47" s="106" t="s">
        <v>254</v>
      </c>
      <c r="C47" s="70">
        <v>0</v>
      </c>
      <c r="D47" s="7">
        <f t="shared" si="18"/>
        <v>0</v>
      </c>
      <c r="E47" s="85">
        <f t="shared" si="1"/>
        <v>0</v>
      </c>
      <c r="F47" s="70">
        <v>0</v>
      </c>
      <c r="G47" s="7">
        <f t="shared" si="19"/>
        <v>0</v>
      </c>
      <c r="H47" s="85">
        <f t="shared" si="2"/>
        <v>0</v>
      </c>
      <c r="I47" s="70">
        <v>0</v>
      </c>
      <c r="J47" s="7">
        <f t="shared" si="20"/>
        <v>0</v>
      </c>
      <c r="K47" s="85">
        <f t="shared" si="3"/>
        <v>0</v>
      </c>
      <c r="L47" s="6">
        <v>0</v>
      </c>
      <c r="M47" s="7">
        <f t="shared" si="21"/>
        <v>0</v>
      </c>
      <c r="N47" s="85">
        <f t="shared" si="4"/>
        <v>0</v>
      </c>
      <c r="O47" s="6">
        <f>VLOOKUP(B47,[7]AKSoftSalesReport!$B$2:$C$89,2,0)</f>
        <v>32015</v>
      </c>
      <c r="P47" s="7">
        <f t="shared" si="22"/>
        <v>2.6903361344537816E-3</v>
      </c>
      <c r="Q47" s="85">
        <f t="shared" si="5"/>
        <v>43220.25</v>
      </c>
      <c r="R47" s="6">
        <f>VLOOKUP(B47,[8]AKSoftSalesReport!$B$2:$C$93,2,0)</f>
        <v>826303</v>
      </c>
      <c r="S47" s="7">
        <f t="shared" si="23"/>
        <v>6.9437226890756307E-2</v>
      </c>
      <c r="T47" s="85">
        <f t="shared" si="6"/>
        <v>1115509.05</v>
      </c>
      <c r="U47" s="71">
        <f>VLOOKUP(B47,[9]AKSoftSalesReport!$B$2:$C$94,2,0)</f>
        <v>1053229</v>
      </c>
      <c r="V47" s="7">
        <f t="shared" si="24"/>
        <v>8.8506638655462183E-2</v>
      </c>
      <c r="W47" s="85">
        <f t="shared" si="7"/>
        <v>1421859.15</v>
      </c>
      <c r="X47" s="71">
        <v>1097442.83</v>
      </c>
      <c r="Y47" s="7">
        <f t="shared" si="25"/>
        <v>9.2222086554621857E-2</v>
      </c>
      <c r="Z47" s="85">
        <f t="shared" si="8"/>
        <v>1481547.8205000001</v>
      </c>
      <c r="AA47" s="71">
        <v>1110153</v>
      </c>
      <c r="AB47" s="7">
        <f t="shared" si="26"/>
        <v>9.3290168067226897E-2</v>
      </c>
      <c r="AC47" s="85">
        <f t="shared" si="9"/>
        <v>1498706.55</v>
      </c>
      <c r="AD47" s="51">
        <v>1081508.76</v>
      </c>
      <c r="AE47" s="7">
        <f t="shared" si="27"/>
        <v>9.0883089075630252E-2</v>
      </c>
      <c r="AF47" s="85">
        <f t="shared" si="10"/>
        <v>1460036.8260000001</v>
      </c>
      <c r="AG47" s="154">
        <v>969670</v>
      </c>
      <c r="AH47" s="7">
        <f t="shared" si="28"/>
        <v>8.1484873949579831E-2</v>
      </c>
      <c r="AI47" s="85">
        <f t="shared" si="11"/>
        <v>1309054.5</v>
      </c>
      <c r="AJ47" s="104">
        <v>1008668.5892857147</v>
      </c>
      <c r="AK47" s="7">
        <f t="shared" si="29"/>
        <v>8.4762066326530647E-2</v>
      </c>
      <c r="AL47" s="85">
        <f t="shared" si="12"/>
        <v>1361702.5955357149</v>
      </c>
      <c r="AM47" s="6">
        <f t="shared" si="13"/>
        <v>7178990.1792857144</v>
      </c>
      <c r="AN47" s="155">
        <f>AM47/216</f>
        <v>33236.06564484127</v>
      </c>
      <c r="AO47" s="101">
        <v>11900000</v>
      </c>
      <c r="AP47" s="87">
        <f t="shared" si="30"/>
        <v>16065000</v>
      </c>
      <c r="AQ47" s="237">
        <v>0.35</v>
      </c>
      <c r="AR47" s="1">
        <v>16065000</v>
      </c>
      <c r="AS47" s="240">
        <f t="shared" si="31"/>
        <v>9691636.7420357149</v>
      </c>
      <c r="AT47" s="31">
        <f t="shared" si="32"/>
        <v>-6373363.2579642851</v>
      </c>
      <c r="AV47" s="253">
        <v>0</v>
      </c>
      <c r="AW47" s="28">
        <f t="shared" si="14"/>
        <v>0</v>
      </c>
      <c r="AX47" s="28">
        <v>0</v>
      </c>
      <c r="AY47" s="79">
        <f t="shared" si="15"/>
        <v>0</v>
      </c>
      <c r="AZ47" s="28">
        <v>0</v>
      </c>
      <c r="BA47" s="28">
        <f t="shared" si="16"/>
        <v>0</v>
      </c>
      <c r="BB47" s="28">
        <v>0</v>
      </c>
      <c r="BC47" s="28">
        <f t="shared" si="17"/>
        <v>0</v>
      </c>
    </row>
    <row r="48" spans="1:55" x14ac:dyDescent="0.3">
      <c r="A48" s="239">
        <v>45</v>
      </c>
      <c r="B48" s="89" t="s">
        <v>13</v>
      </c>
      <c r="C48" s="70">
        <f>VLOOKUP(B48,[3]AKSoftSalesReport!$B$2:$C$87,2,0)</f>
        <v>1526361.5000000012</v>
      </c>
      <c r="D48" s="7">
        <f t="shared" si="18"/>
        <v>8.2720583646256451E-2</v>
      </c>
      <c r="E48" s="85">
        <f t="shared" si="1"/>
        <v>1831433.7219281178</v>
      </c>
      <c r="F48" s="70">
        <f>VLOOKUP(B48,[4]AKSoftSalesReport!$B$2:$C$87,2,0)</f>
        <v>1438659</v>
      </c>
      <c r="G48" s="7">
        <f t="shared" si="19"/>
        <v>7.7967579860956635E-2</v>
      </c>
      <c r="H48" s="85">
        <f t="shared" si="2"/>
        <v>1726202.2181215798</v>
      </c>
      <c r="I48" s="70">
        <f>VLOOKUP(B48,[5]AKSoftSalesReport!$B$2:$C$87,2,0)</f>
        <v>1172086</v>
      </c>
      <c r="J48" s="7">
        <f t="shared" si="20"/>
        <v>6.3520757044517998E-2</v>
      </c>
      <c r="K48" s="85">
        <f t="shared" si="3"/>
        <v>1406349.5609656284</v>
      </c>
      <c r="L48" s="6">
        <f>VLOOKUP(B48,[6]AKSoftSalesReport!$B$2:$C$87,2,0)</f>
        <v>1504611</v>
      </c>
      <c r="M48" s="7">
        <f t="shared" si="21"/>
        <v>8.1541823533008054E-2</v>
      </c>
      <c r="N48" s="85">
        <f t="shared" si="4"/>
        <v>1805335.9730207983</v>
      </c>
      <c r="O48" s="6">
        <f>VLOOKUP(B48,[7]AKSoftSalesReport!$B$2:$C$89,2,0)</f>
        <v>1699370.06</v>
      </c>
      <c r="P48" s="7">
        <f t="shared" si="22"/>
        <v>9.2096717058294336E-2</v>
      </c>
      <c r="Q48" s="85">
        <f t="shared" si="5"/>
        <v>2039021.3156706367</v>
      </c>
      <c r="R48" s="6">
        <f>VLOOKUP(B48,[8]AKSoftSalesReport!$B$2:$C$93,2,0)</f>
        <v>1754309.4700000004</v>
      </c>
      <c r="S48" s="7">
        <f t="shared" si="23"/>
        <v>9.507413758441545E-2</v>
      </c>
      <c r="T48" s="85">
        <f t="shared" si="6"/>
        <v>2104941.4061189583</v>
      </c>
      <c r="U48" s="71">
        <f>VLOOKUP(B48,[9]AKSoftSalesReport!$B$2:$C$94,2,0)</f>
        <v>1689783</v>
      </c>
      <c r="V48" s="7">
        <f t="shared" si="24"/>
        <v>9.1577149971040314E-2</v>
      </c>
      <c r="W48" s="85">
        <f t="shared" si="7"/>
        <v>2027518.1003588326</v>
      </c>
      <c r="X48" s="71">
        <f>VLOOKUP(B48,[10]AKSoftSalesReport!$B$2:$C$94,2,0)</f>
        <v>1552347</v>
      </c>
      <c r="Y48" s="7">
        <f t="shared" si="25"/>
        <v>8.4128857981228669E-2</v>
      </c>
      <c r="Z48" s="85">
        <f t="shared" si="8"/>
        <v>1862612.9157044028</v>
      </c>
      <c r="AA48" s="71">
        <f>VLOOKUP(B48,[11]AKSoftSalesReport!$B$2:$C$94,2,0)</f>
        <v>1613617</v>
      </c>
      <c r="AB48" s="7">
        <f t="shared" si="26"/>
        <v>8.7449362435780303E-2</v>
      </c>
      <c r="AC48" s="85">
        <f t="shared" si="9"/>
        <v>1936128.8843281758</v>
      </c>
      <c r="AD48" s="51">
        <f>VLOOKUP(B48,[12]AKSoftSalesReport!$B$2:$C$89,2,0)</f>
        <v>1625553</v>
      </c>
      <c r="AE48" s="7">
        <f t="shared" si="27"/>
        <v>8.8096229437078316E-2</v>
      </c>
      <c r="AF48" s="85">
        <f t="shared" si="10"/>
        <v>1950450.519736914</v>
      </c>
      <c r="AG48" s="154">
        <f>VLOOKUP(B48,[13]AKSoftSalesReport!$B$2:$C$90,2,0)</f>
        <v>1478618</v>
      </c>
      <c r="AH48" s="7">
        <f t="shared" si="28"/>
        <v>8.0133142738375102E-2</v>
      </c>
      <c r="AI48" s="85">
        <f t="shared" si="11"/>
        <v>1774147.7802276248</v>
      </c>
      <c r="AJ48" s="104">
        <f>VLOOKUP(B48,[14]AKSoftSalesReport!$A:$D,4,0)</f>
        <v>1396700.5714285716</v>
      </c>
      <c r="AK48" s="7">
        <f t="shared" si="29"/>
        <v>7.5693658709048442E-2</v>
      </c>
      <c r="AL48" s="85">
        <f t="shared" si="12"/>
        <v>1675857.6038183325</v>
      </c>
      <c r="AM48" s="6">
        <f t="shared" si="13"/>
        <v>18452015.601428572</v>
      </c>
      <c r="AN48" s="6"/>
      <c r="AO48" s="73">
        <v>18452015.601428572</v>
      </c>
      <c r="AP48" s="87">
        <f t="shared" si="30"/>
        <v>22142418.721714288</v>
      </c>
      <c r="AQ48" s="237">
        <v>0.2</v>
      </c>
      <c r="AR48" s="25">
        <v>22140000</v>
      </c>
      <c r="AS48" s="240">
        <f t="shared" si="31"/>
        <v>22139999.999999996</v>
      </c>
      <c r="AT48" s="31">
        <f t="shared" si="32"/>
        <v>0</v>
      </c>
      <c r="AV48" s="253">
        <f>VLOOKUP(B48,[17]AKSoftSalesReport!$A:$B,2,0)</f>
        <v>504579</v>
      </c>
      <c r="AW48" s="28">
        <f t="shared" si="14"/>
        <v>934080</v>
      </c>
      <c r="AX48" s="28">
        <f>VLOOKUP(B48,[18]AKSoftSalesReport!$A:$B,2,0)</f>
        <v>322074</v>
      </c>
      <c r="AY48" s="79">
        <f t="shared" si="15"/>
        <v>1256154</v>
      </c>
      <c r="AZ48" s="28">
        <v>322074</v>
      </c>
      <c r="BA48" s="28">
        <f t="shared" si="16"/>
        <v>850012</v>
      </c>
      <c r="BB48" s="28">
        <f>VLOOKUP(B48,[19]AKSoftSalesReport!$A:$B,2,0)</f>
        <v>500902</v>
      </c>
      <c r="BC48" s="28">
        <f t="shared" si="17"/>
        <v>1350914</v>
      </c>
    </row>
    <row r="49" spans="1:55" x14ac:dyDescent="0.3">
      <c r="A49" s="61">
        <v>46</v>
      </c>
      <c r="B49" s="90" t="s">
        <v>14</v>
      </c>
      <c r="C49" s="70">
        <f>VLOOKUP(B49,[3]AKSoftSalesReport!$B$2:$C$87,2,0)</f>
        <v>522808.39000000013</v>
      </c>
      <c r="D49" s="7">
        <f t="shared" si="18"/>
        <v>7.1002464930449233E-2</v>
      </c>
      <c r="E49" s="85">
        <f t="shared" si="1"/>
        <v>705764.50140866532</v>
      </c>
      <c r="F49" s="70">
        <f>VLOOKUP(B49,[4]AKSoftSalesReport!$B$2:$C$87,2,0)</f>
        <v>511547</v>
      </c>
      <c r="G49" s="7">
        <f t="shared" si="19"/>
        <v>6.9473058624358541E-2</v>
      </c>
      <c r="H49" s="85">
        <f t="shared" si="2"/>
        <v>690562.20272612385</v>
      </c>
      <c r="I49" s="70">
        <f>VLOOKUP(B49,[5]AKSoftSalesReport!$B$2:$C$87,2,0)</f>
        <v>491526</v>
      </c>
      <c r="J49" s="7">
        <f t="shared" si="20"/>
        <v>6.67540120720021E-2</v>
      </c>
      <c r="K49" s="85">
        <f t="shared" si="3"/>
        <v>663534.8799957009</v>
      </c>
      <c r="L49" s="6">
        <f>VLOOKUP(B49,[6]AKSoftSalesReport!$B$2:$C$87,2,0)</f>
        <v>592668</v>
      </c>
      <c r="M49" s="7">
        <f t="shared" si="21"/>
        <v>8.049007952110232E-2</v>
      </c>
      <c r="N49" s="85">
        <f t="shared" si="4"/>
        <v>800071.39043975703</v>
      </c>
      <c r="O49" s="6">
        <f>VLOOKUP(B49,[7]AKSoftSalesReport!$B$2:$C$89,2,0)</f>
        <v>689296</v>
      </c>
      <c r="P49" s="7">
        <f t="shared" si="22"/>
        <v>9.3613101860700682E-2</v>
      </c>
      <c r="Q49" s="85">
        <f t="shared" si="5"/>
        <v>930514.23249536473</v>
      </c>
      <c r="R49" s="6">
        <f>VLOOKUP(B49,[8]AKSoftSalesReport!$B$2:$C$93,2,0)</f>
        <v>657475</v>
      </c>
      <c r="S49" s="7">
        <f t="shared" si="23"/>
        <v>8.9291500524976461E-2</v>
      </c>
      <c r="T49" s="85">
        <f t="shared" si="6"/>
        <v>887557.51521826605</v>
      </c>
      <c r="U49" s="71">
        <f>VLOOKUP(B49,[9]AKSoftSalesReport!$B$2:$C$94,2,0)</f>
        <v>666875</v>
      </c>
      <c r="V49" s="7">
        <f t="shared" si="24"/>
        <v>9.0568111962574513E-2</v>
      </c>
      <c r="W49" s="85">
        <f t="shared" si="7"/>
        <v>900247.03290799062</v>
      </c>
      <c r="X49" s="71">
        <f>VLOOKUP(B49,[10]AKSoftSalesReport!$B$2:$C$94,2,0)</f>
        <v>624297</v>
      </c>
      <c r="Y49" s="7">
        <f t="shared" si="25"/>
        <v>8.4785605389164964E-2</v>
      </c>
      <c r="Z49" s="85">
        <f t="shared" si="8"/>
        <v>842768.91756829969</v>
      </c>
      <c r="AA49" s="71">
        <f>VLOOKUP(B49,[11]AKSoftSalesReport!$B$2:$C$94,2,0)</f>
        <v>711919</v>
      </c>
      <c r="AB49" s="7">
        <f t="shared" si="26"/>
        <v>9.6685525323762456E-2</v>
      </c>
      <c r="AC49" s="85">
        <f t="shared" si="9"/>
        <v>961054.12171819876</v>
      </c>
      <c r="AD49" s="51">
        <f>VLOOKUP(B49,[12]AKSoftSalesReport!$B$2:$C$89,2,0)</f>
        <v>653448</v>
      </c>
      <c r="AE49" s="7">
        <f t="shared" si="27"/>
        <v>8.8744594752720368E-2</v>
      </c>
      <c r="AF49" s="85">
        <f t="shared" si="10"/>
        <v>882121.27184204047</v>
      </c>
      <c r="AG49" s="154">
        <f>VLOOKUP(B49,[13]AKSoftSalesReport!$B$2:$C$90,2,0)</f>
        <v>638181</v>
      </c>
      <c r="AH49" s="7">
        <f t="shared" si="28"/>
        <v>8.667118764444276E-2</v>
      </c>
      <c r="AI49" s="85">
        <f t="shared" si="11"/>
        <v>861511.605185761</v>
      </c>
      <c r="AJ49" s="104">
        <f>VLOOKUP(B49,[14]AKSoftSalesReport!$A:$D,4,0)</f>
        <v>603202.42857142864</v>
      </c>
      <c r="AK49" s="7">
        <f t="shared" si="29"/>
        <v>8.1920757393745464E-2</v>
      </c>
      <c r="AL49" s="85">
        <f t="shared" si="12"/>
        <v>814292.32849382993</v>
      </c>
      <c r="AM49" s="6">
        <f t="shared" si="13"/>
        <v>7363242.8185714297</v>
      </c>
      <c r="AN49" s="6"/>
      <c r="AO49" s="73">
        <v>7363242.8185714297</v>
      </c>
      <c r="AP49" s="87">
        <f t="shared" si="30"/>
        <v>9940377.8050714303</v>
      </c>
      <c r="AQ49" s="237">
        <v>0.35</v>
      </c>
      <c r="AR49" s="25">
        <v>9940000</v>
      </c>
      <c r="AS49" s="240">
        <f t="shared" si="31"/>
        <v>9939999.9999999981</v>
      </c>
      <c r="AT49" s="31">
        <f t="shared" si="32"/>
        <v>0</v>
      </c>
      <c r="AV49" s="253">
        <f>VLOOKUP(B49,[17]AKSoftSalesReport!$A:$B,2,0)</f>
        <v>175607</v>
      </c>
      <c r="AW49" s="28">
        <f t="shared" si="14"/>
        <v>335940</v>
      </c>
      <c r="AX49" s="28">
        <f>VLOOKUP(B49,[18]AKSoftSalesReport!$A:$B,2,0)</f>
        <v>134011</v>
      </c>
      <c r="AY49" s="79">
        <f t="shared" si="15"/>
        <v>469951</v>
      </c>
      <c r="AZ49" s="28">
        <v>134011</v>
      </c>
      <c r="BA49" s="28">
        <f t="shared" si="16"/>
        <v>357515</v>
      </c>
      <c r="BB49" s="28">
        <f>VLOOKUP(B49,[19]AKSoftSalesReport!$A:$B,2,0)</f>
        <v>186596</v>
      </c>
      <c r="BC49" s="28">
        <f t="shared" si="17"/>
        <v>544111</v>
      </c>
    </row>
    <row r="50" spans="1:55" x14ac:dyDescent="0.3">
      <c r="A50" s="239">
        <v>47</v>
      </c>
      <c r="B50" s="89" t="s">
        <v>15</v>
      </c>
      <c r="C50" s="70">
        <f>VLOOKUP(B50,[3]AKSoftSalesReport!$B$2:$C$87,2,0)</f>
        <v>780934.20000000019</v>
      </c>
      <c r="D50" s="7">
        <f t="shared" si="18"/>
        <v>9.7116989105398774E-2</v>
      </c>
      <c r="E50" s="85">
        <f t="shared" si="1"/>
        <v>937178.94486709812</v>
      </c>
      <c r="F50" s="70">
        <f>VLOOKUP(B50,[4]AKSoftSalesReport!$B$2:$C$87,2,0)</f>
        <v>598585</v>
      </c>
      <c r="G50" s="7">
        <f t="shared" si="19"/>
        <v>7.4440039792923796E-2</v>
      </c>
      <c r="H50" s="85">
        <f t="shared" si="2"/>
        <v>718346.38400171464</v>
      </c>
      <c r="I50" s="70">
        <f>VLOOKUP(B50,[5]AKSoftSalesReport!$B$2:$C$87,2,0)</f>
        <v>585306</v>
      </c>
      <c r="J50" s="7">
        <f t="shared" si="20"/>
        <v>7.2788663148988117E-2</v>
      </c>
      <c r="K50" s="85">
        <f t="shared" si="3"/>
        <v>702410.59938773536</v>
      </c>
      <c r="L50" s="6">
        <f>VLOOKUP(B50,[6]AKSoftSalesReport!$B$2:$C$87,2,0)</f>
        <v>758774</v>
      </c>
      <c r="M50" s="7">
        <f t="shared" si="21"/>
        <v>9.4361146293067757E-2</v>
      </c>
      <c r="N50" s="85">
        <f t="shared" si="4"/>
        <v>910585.0617281039</v>
      </c>
      <c r="O50" s="6">
        <f>VLOOKUP(B50,[7]AKSoftSalesReport!$B$2:$C$89,2,0)</f>
        <v>748455.03</v>
      </c>
      <c r="P50" s="7">
        <f t="shared" si="22"/>
        <v>9.3077879025391511E-2</v>
      </c>
      <c r="Q50" s="85">
        <f t="shared" si="5"/>
        <v>898201.53259502805</v>
      </c>
      <c r="R50" s="6">
        <f>VLOOKUP(B50,[8]AKSoftSalesReport!$B$2:$C$93,2,0)</f>
        <v>764725</v>
      </c>
      <c r="S50" s="7">
        <f t="shared" si="23"/>
        <v>9.5101212744461774E-2</v>
      </c>
      <c r="T50" s="85">
        <f t="shared" si="6"/>
        <v>917726.70298405609</v>
      </c>
      <c r="U50" s="71">
        <f>VLOOKUP(B50,[9]AKSoftSalesReport!$B$2:$C$94,2,0)</f>
        <v>824555</v>
      </c>
      <c r="V50" s="7">
        <f t="shared" si="24"/>
        <v>0.10254167246331646</v>
      </c>
      <c r="W50" s="85">
        <f t="shared" si="7"/>
        <v>989527.13927100378</v>
      </c>
      <c r="X50" s="71">
        <f>VLOOKUP(B50,[10]AKSoftSalesReport!$B$2:$C$94,2,0)</f>
        <v>657061</v>
      </c>
      <c r="Y50" s="7">
        <f t="shared" si="25"/>
        <v>8.1712116050984079E-2</v>
      </c>
      <c r="Z50" s="85">
        <f t="shared" si="8"/>
        <v>788521.91989199631</v>
      </c>
      <c r="AA50" s="71">
        <f>VLOOKUP(B50,[11]AKSoftSalesReport!$B$2:$C$94,2,0)</f>
        <v>624123</v>
      </c>
      <c r="AB50" s="7">
        <f t="shared" si="26"/>
        <v>7.7615945865130237E-2</v>
      </c>
      <c r="AC50" s="85">
        <f t="shared" si="9"/>
        <v>748993.87759850675</v>
      </c>
      <c r="AD50" s="51">
        <f>VLOOKUP(B50,[12]AKSoftSalesReport!$B$2:$C$89,2,0)</f>
        <v>569325</v>
      </c>
      <c r="AE50" s="7">
        <f t="shared" si="27"/>
        <v>7.0801265743555789E-2</v>
      </c>
      <c r="AF50" s="85">
        <f t="shared" si="10"/>
        <v>683232.2144253134</v>
      </c>
      <c r="AG50" s="154">
        <f>VLOOKUP(B50,[13]AKSoftSalesReport!$B$2:$C$90,2,0)</f>
        <v>600254</v>
      </c>
      <c r="AH50" s="7">
        <f t="shared" si="28"/>
        <v>7.4647596658555901E-2</v>
      </c>
      <c r="AI50" s="85">
        <f t="shared" si="11"/>
        <v>720349.30775506445</v>
      </c>
      <c r="AJ50" s="104">
        <f>VLOOKUP(B50,[14]AKSoftSalesReport!$A:$D,4,0)</f>
        <v>529072.57142857136</v>
      </c>
      <c r="AK50" s="7">
        <f t="shared" si="29"/>
        <v>6.5795473108225852E-2</v>
      </c>
      <c r="AL50" s="85">
        <f t="shared" si="12"/>
        <v>634926.31549437949</v>
      </c>
      <c r="AM50" s="6">
        <f t="shared" si="13"/>
        <v>8041169.8014285713</v>
      </c>
      <c r="AN50" s="6"/>
      <c r="AO50" s="73">
        <v>8041169.8014285713</v>
      </c>
      <c r="AP50" s="87">
        <f t="shared" si="30"/>
        <v>9649403.7617142852</v>
      </c>
      <c r="AQ50" s="237">
        <v>0.2</v>
      </c>
      <c r="AR50" s="25">
        <v>9650000</v>
      </c>
      <c r="AS50" s="240">
        <f t="shared" si="31"/>
        <v>9650000</v>
      </c>
      <c r="AT50" s="31">
        <f t="shared" si="32"/>
        <v>0</v>
      </c>
      <c r="AV50" s="253">
        <f>VLOOKUP(B50,[17]AKSoftSalesReport!$A:$B,2,0)</f>
        <v>237211</v>
      </c>
      <c r="AW50" s="28">
        <f t="shared" si="14"/>
        <v>361374</v>
      </c>
      <c r="AX50" s="28">
        <f>VLOOKUP(B50,[18]AKSoftSalesReport!$A:$B,2,0)</f>
        <v>155729</v>
      </c>
      <c r="AY50" s="79">
        <f t="shared" si="15"/>
        <v>517103</v>
      </c>
      <c r="AZ50" s="28">
        <v>155729</v>
      </c>
      <c r="BA50" s="28">
        <f t="shared" si="16"/>
        <v>429577</v>
      </c>
      <c r="BB50" s="28">
        <f>VLOOKUP(B50,[19]AKSoftSalesReport!$A:$B,2,0)</f>
        <v>261146</v>
      </c>
      <c r="BC50" s="28">
        <f t="shared" si="17"/>
        <v>690723</v>
      </c>
    </row>
    <row r="51" spans="1:55" x14ac:dyDescent="0.3">
      <c r="A51" s="61">
        <v>48</v>
      </c>
      <c r="B51" s="106" t="s">
        <v>225</v>
      </c>
      <c r="C51" s="70">
        <f>VLOOKUP(B51,[3]AKSoftSalesReport!$B$2:$C$87,2,0)</f>
        <v>399834.06</v>
      </c>
      <c r="D51" s="7">
        <f t="shared" si="18"/>
        <v>6.5492656955548595E-2</v>
      </c>
      <c r="E51" s="85">
        <f t="shared" si="1"/>
        <v>539659.49331372045</v>
      </c>
      <c r="F51" s="70">
        <f>VLOOKUP(B51,[4]AKSoftSalesReport!$B$2:$C$87,2,0)</f>
        <v>387834.53</v>
      </c>
      <c r="G51" s="7">
        <f t="shared" si="19"/>
        <v>6.3527138805549527E-2</v>
      </c>
      <c r="H51" s="85">
        <f t="shared" si="2"/>
        <v>523463.62375772808</v>
      </c>
      <c r="I51" s="70">
        <f>VLOOKUP(B51,[5]AKSoftSalesReport!$B$2:$C$87,2,0)</f>
        <v>305205</v>
      </c>
      <c r="J51" s="7">
        <f t="shared" si="20"/>
        <v>4.9992455285370656E-2</v>
      </c>
      <c r="K51" s="85">
        <f t="shared" si="3"/>
        <v>411937.8315514542</v>
      </c>
      <c r="L51" s="6">
        <f>VLOOKUP(B51,[6]AKSoftSalesReport!$B$2:$C$87,2,0)</f>
        <v>444893.39</v>
      </c>
      <c r="M51" s="7">
        <f t="shared" si="21"/>
        <v>7.2873356944781281E-2</v>
      </c>
      <c r="N51" s="85">
        <f t="shared" si="4"/>
        <v>600476.46122499777</v>
      </c>
      <c r="O51" s="6">
        <f>VLOOKUP(B51,[7]AKSoftSalesReport!$B$2:$C$89,2,0)</f>
        <v>438417.33</v>
      </c>
      <c r="P51" s="7">
        <f t="shared" si="22"/>
        <v>7.1812580941847587E-2</v>
      </c>
      <c r="Q51" s="85">
        <f t="shared" si="5"/>
        <v>591735.66696082416</v>
      </c>
      <c r="R51" s="6">
        <f>VLOOKUP(B51,[8]AKSoftSalesReport!$B$2:$C$93,2,0)</f>
        <v>489709.52000000019</v>
      </c>
      <c r="S51" s="7">
        <f t="shared" si="23"/>
        <v>8.021422087259493E-2</v>
      </c>
      <c r="T51" s="85">
        <f t="shared" si="6"/>
        <v>660965.17999018217</v>
      </c>
      <c r="U51" s="71">
        <f>VLOOKUP(B51,[9]AKSoftSalesReport!$B$2:$C$94,2,0)</f>
        <v>479519.24</v>
      </c>
      <c r="V51" s="7">
        <f t="shared" si="24"/>
        <v>7.8545057139217639E-2</v>
      </c>
      <c r="W51" s="85">
        <f t="shared" si="7"/>
        <v>647211.27082715335</v>
      </c>
      <c r="X51" s="71">
        <f>VLOOKUP(B51,[10]AKSoftSalesReport!$B$2:$C$94,2,0)</f>
        <v>716204</v>
      </c>
      <c r="Y51" s="7">
        <f t="shared" si="25"/>
        <v>0.11731392488721877</v>
      </c>
      <c r="Z51" s="85">
        <f t="shared" si="8"/>
        <v>966666.74107068265</v>
      </c>
      <c r="AA51" s="71">
        <f>VLOOKUP(B51,[11]AKSoftSalesReport!$B$2:$C$94,2,0)</f>
        <v>665686</v>
      </c>
      <c r="AB51" s="7">
        <f t="shared" si="26"/>
        <v>0.10903909696465408</v>
      </c>
      <c r="AC51" s="85">
        <f t="shared" si="9"/>
        <v>898482.15898874961</v>
      </c>
      <c r="AD51" s="51">
        <f>VLOOKUP(B51,[12]AKSoftSalesReport!$B$2:$C$89,2,0)</f>
        <v>666948</v>
      </c>
      <c r="AE51" s="7">
        <f t="shared" si="27"/>
        <v>0.10924581205310328</v>
      </c>
      <c r="AF51" s="85">
        <f t="shared" si="10"/>
        <v>900185.49131757102</v>
      </c>
      <c r="AG51" s="154">
        <f>VLOOKUP(B51,[13]AKSoftSalesReport!$B$2:$C$90,2,0)</f>
        <v>530893</v>
      </c>
      <c r="AH51" s="7">
        <f t="shared" si="28"/>
        <v>8.696005820290062E-2</v>
      </c>
      <c r="AI51" s="85">
        <f t="shared" si="11"/>
        <v>716550.87959190109</v>
      </c>
      <c r="AJ51" s="104">
        <f>VLOOKUP(B51,[14]AKSoftSalesReport!$A:$D,4,0)</f>
        <v>579877.14285714284</v>
      </c>
      <c r="AK51" s="7">
        <f t="shared" si="29"/>
        <v>9.4983640947213205E-2</v>
      </c>
      <c r="AL51" s="85">
        <f t="shared" si="12"/>
        <v>782665.20140503685</v>
      </c>
      <c r="AM51" s="6">
        <f t="shared" si="13"/>
        <v>6105021.2128571421</v>
      </c>
      <c r="AN51" s="6"/>
      <c r="AO51" s="224">
        <v>6105021.2128571421</v>
      </c>
      <c r="AP51" s="87">
        <f t="shared" si="30"/>
        <v>8241778.6373571418</v>
      </c>
      <c r="AQ51" s="237">
        <v>0.35</v>
      </c>
      <c r="AR51" s="25">
        <v>8240000</v>
      </c>
      <c r="AS51" s="240">
        <f t="shared" si="31"/>
        <v>8240000.0000000019</v>
      </c>
      <c r="AT51" s="31">
        <f t="shared" si="32"/>
        <v>0</v>
      </c>
      <c r="AV51" s="253">
        <f>VLOOKUP(B51,[17]AKSoftSalesReport!$A:$B,2,0)</f>
        <v>144790</v>
      </c>
      <c r="AW51" s="28">
        <f t="shared" si="14"/>
        <v>243044.53000000003</v>
      </c>
      <c r="AX51" s="28">
        <f>VLOOKUP(B51,[18]AKSoftSalesReport!$A:$B,2,0)</f>
        <v>90133</v>
      </c>
      <c r="AY51" s="79">
        <f t="shared" si="15"/>
        <v>333177.53000000003</v>
      </c>
      <c r="AZ51" s="28">
        <v>90133</v>
      </c>
      <c r="BA51" s="28">
        <f t="shared" si="16"/>
        <v>215072</v>
      </c>
      <c r="BB51" s="28">
        <f>VLOOKUP(B51,[19]AKSoftSalesReport!$A:$B,2,0)</f>
        <v>147500</v>
      </c>
      <c r="BC51" s="28">
        <f t="shared" si="17"/>
        <v>362572</v>
      </c>
    </row>
    <row r="52" spans="1:55" x14ac:dyDescent="0.3">
      <c r="A52" s="239">
        <v>49</v>
      </c>
      <c r="B52" s="89" t="s">
        <v>86</v>
      </c>
      <c r="C52" s="70">
        <f>VLOOKUP(B52,[3]AKSoftSalesReport!$B$2:$C$87,2,0)</f>
        <v>1747918.0800000017</v>
      </c>
      <c r="D52" s="7">
        <f t="shared" si="18"/>
        <v>7.7489693187419481E-2</v>
      </c>
      <c r="E52" s="85">
        <f t="shared" si="1"/>
        <v>2097645.9945834451</v>
      </c>
      <c r="F52" s="70">
        <f>VLOOKUP(B52,[4]AKSoftSalesReport!$B$2:$C$87,2,0)</f>
        <v>1655806.6</v>
      </c>
      <c r="G52" s="7">
        <f t="shared" si="19"/>
        <v>7.340615494503272E-2</v>
      </c>
      <c r="H52" s="85">
        <f t="shared" si="2"/>
        <v>1987104.6143620356</v>
      </c>
      <c r="I52" s="70">
        <f>VLOOKUP(B52,[5]AKSoftSalesReport!$B$2:$C$87,2,0)</f>
        <v>1068481</v>
      </c>
      <c r="J52" s="7">
        <f t="shared" si="20"/>
        <v>4.7368504173025704E-2</v>
      </c>
      <c r="K52" s="85">
        <f t="shared" si="3"/>
        <v>1282265.4079638058</v>
      </c>
      <c r="L52" s="6">
        <f>VLOOKUP(B52,[6]AKSoftSalesReport!$B$2:$C$87,2,0)</f>
        <v>1780616.6800000004</v>
      </c>
      <c r="M52" s="7">
        <f t="shared" si="21"/>
        <v>7.8939306021482081E-2</v>
      </c>
      <c r="N52" s="85">
        <f t="shared" si="4"/>
        <v>2136887.0140015199</v>
      </c>
      <c r="O52" s="6">
        <f>VLOOKUP(B52,[7]AKSoftSalesReport!$B$2:$C$89,2,0)</f>
        <v>2125574.6800000006</v>
      </c>
      <c r="P52" s="7">
        <f t="shared" si="22"/>
        <v>9.4232179233564098E-2</v>
      </c>
      <c r="Q52" s="85">
        <f t="shared" si="5"/>
        <v>2550865.0918525802</v>
      </c>
      <c r="R52" s="6">
        <f>VLOOKUP(B52,[8]AKSoftSalesReport!$B$2:$C$93,2,0)</f>
        <v>1987061.9700000009</v>
      </c>
      <c r="S52" s="7">
        <f t="shared" si="23"/>
        <v>8.8091555411847017E-2</v>
      </c>
      <c r="T52" s="85">
        <f t="shared" si="6"/>
        <v>2384638.4049986987</v>
      </c>
      <c r="U52" s="71">
        <f>VLOOKUP(B52,[9]AKSoftSalesReport!$B$2:$C$94,2,0)</f>
        <v>2023596.0300000017</v>
      </c>
      <c r="V52" s="7">
        <f t="shared" si="24"/>
        <v>8.9711204028497776E-2</v>
      </c>
      <c r="W52" s="85">
        <f t="shared" si="7"/>
        <v>2428482.2930514347</v>
      </c>
      <c r="X52" s="71">
        <f>VLOOKUP(B52,[10]AKSoftSalesReport!$B$2:$C$94,2,0)</f>
        <v>2006855.8300000015</v>
      </c>
      <c r="Y52" s="7">
        <f t="shared" si="25"/>
        <v>8.8969068011519187E-2</v>
      </c>
      <c r="Z52" s="85">
        <f t="shared" si="8"/>
        <v>2408392.6710718246</v>
      </c>
      <c r="AA52" s="71">
        <f>VLOOKUP(B52,[11]AKSoftSalesReport!$B$2:$C$94,2,0)</f>
        <v>1987149.2000000002</v>
      </c>
      <c r="AB52" s="7">
        <f t="shared" si="26"/>
        <v>8.8095422541556376E-2</v>
      </c>
      <c r="AC52" s="85">
        <f t="shared" si="9"/>
        <v>2384743.0881999312</v>
      </c>
      <c r="AD52" s="51">
        <f>VLOOKUP(B52,[12]AKSoftSalesReport!$B$2:$C$89,2,0)</f>
        <v>2215447.5900000008</v>
      </c>
      <c r="AE52" s="7">
        <f t="shared" si="27"/>
        <v>9.8216475924265176E-2</v>
      </c>
      <c r="AF52" s="85">
        <f t="shared" si="10"/>
        <v>2658720.0032698582</v>
      </c>
      <c r="AG52" s="154">
        <f>VLOOKUP(B52,[13]AKSoftSalesReport!$B$2:$C$90,2,0)</f>
        <v>2007521.4800000004</v>
      </c>
      <c r="AH52" s="7">
        <f t="shared" si="28"/>
        <v>8.8998577983903093E-2</v>
      </c>
      <c r="AI52" s="85">
        <f t="shared" si="11"/>
        <v>2409191.5060242568</v>
      </c>
      <c r="AJ52" s="104">
        <f>VLOOKUP(B52,[14]AKSoftSalesReport!$A:$D,4,0)</f>
        <v>1950752.3892857151</v>
      </c>
      <c r="AK52" s="7">
        <f t="shared" si="29"/>
        <v>8.6481858537887202E-2</v>
      </c>
      <c r="AL52" s="85">
        <f t="shared" si="12"/>
        <v>2341063.9106206065</v>
      </c>
      <c r="AM52" s="6">
        <f t="shared" si="13"/>
        <v>22556781.529285725</v>
      </c>
      <c r="AN52" s="101"/>
      <c r="AO52" s="73">
        <v>22556781.529285725</v>
      </c>
      <c r="AP52" s="87">
        <f t="shared" si="30"/>
        <v>27068137.83514287</v>
      </c>
      <c r="AQ52" s="237">
        <v>0.2</v>
      </c>
      <c r="AR52" s="1">
        <v>27070000</v>
      </c>
      <c r="AS52" s="240">
        <f t="shared" si="31"/>
        <v>27070000</v>
      </c>
      <c r="AT52" s="31">
        <f t="shared" si="32"/>
        <v>0</v>
      </c>
      <c r="AV52" s="253">
        <f>VLOOKUP(B52,[17]AKSoftSalesReport!$A:$B,2,0)</f>
        <v>529965.5</v>
      </c>
      <c r="AW52" s="28">
        <f t="shared" si="14"/>
        <v>1125841.1000000001</v>
      </c>
      <c r="AX52" s="28">
        <f>VLOOKUP(B52,[18]AKSoftSalesReport!$A:$B,2,0)</f>
        <v>329760</v>
      </c>
      <c r="AY52" s="79">
        <f t="shared" si="15"/>
        <v>1455601.1</v>
      </c>
      <c r="AZ52" s="28">
        <v>329760</v>
      </c>
      <c r="BA52" s="28">
        <f t="shared" si="16"/>
        <v>738721</v>
      </c>
      <c r="BB52" s="28">
        <f>VLOOKUP(B52,[19]AKSoftSalesReport!$A:$B,2,0)</f>
        <v>535988</v>
      </c>
      <c r="BC52" s="28">
        <f t="shared" si="17"/>
        <v>1274709</v>
      </c>
    </row>
    <row r="53" spans="1:55" x14ac:dyDescent="0.3">
      <c r="A53" s="61">
        <v>50</v>
      </c>
      <c r="B53" s="90" t="s">
        <v>78</v>
      </c>
      <c r="C53" s="70">
        <f>VLOOKUP(B53,[3]AKSoftSalesReport!$B$2:$C$87,2,0)</f>
        <v>101997</v>
      </c>
      <c r="D53" s="7">
        <f t="shared" si="18"/>
        <v>3.7556962410844955E-2</v>
      </c>
      <c r="E53" s="85">
        <f t="shared" si="1"/>
        <v>117365.50753389049</v>
      </c>
      <c r="F53" s="70">
        <f>VLOOKUP(B53,[4]AKSoftSalesReport!$B$2:$C$87,2,0)</f>
        <v>288725</v>
      </c>
      <c r="G53" s="7">
        <f t="shared" si="19"/>
        <v>0.10631326384179153</v>
      </c>
      <c r="H53" s="85">
        <f t="shared" si="2"/>
        <v>332228.94950559852</v>
      </c>
      <c r="I53" s="70">
        <f>VLOOKUP(B53,[5]AKSoftSalesReport!$B$2:$C$87,2,0)</f>
        <v>47996</v>
      </c>
      <c r="J53" s="7">
        <f t="shared" si="20"/>
        <v>1.767291163339034E-2</v>
      </c>
      <c r="K53" s="85">
        <f t="shared" si="3"/>
        <v>55227.848854344811</v>
      </c>
      <c r="L53" s="6">
        <f>VLOOKUP(B53,[6]AKSoftSalesReport!$B$2:$C$87,2,0)</f>
        <v>265119</v>
      </c>
      <c r="M53" s="7">
        <f t="shared" si="21"/>
        <v>9.7621148831836271E-2</v>
      </c>
      <c r="N53" s="85">
        <f t="shared" si="4"/>
        <v>305066.09009948833</v>
      </c>
      <c r="O53" s="6">
        <f>VLOOKUP(B53,[7]AKSoftSalesReport!$B$2:$C$89,2,0)</f>
        <v>179646</v>
      </c>
      <c r="P53" s="7">
        <f t="shared" si="22"/>
        <v>6.6148593284691248E-2</v>
      </c>
      <c r="Q53" s="85">
        <f t="shared" si="5"/>
        <v>206714.35401466014</v>
      </c>
      <c r="R53" s="6">
        <f>VLOOKUP(B53,[8]AKSoftSalesReport!$B$2:$C$93,2,0)</f>
        <v>37184</v>
      </c>
      <c r="S53" s="7">
        <f t="shared" si="23"/>
        <v>1.369175652504347E-2</v>
      </c>
      <c r="T53" s="85">
        <f t="shared" si="6"/>
        <v>42786.739140760845</v>
      </c>
      <c r="U53" s="71">
        <f>VLOOKUP(B53,[9]AKSoftSalesReport!$B$2:$C$94,2,0)</f>
        <v>41231</v>
      </c>
      <c r="V53" s="7">
        <f t="shared" si="24"/>
        <v>1.5181928068095615E-2</v>
      </c>
      <c r="W53" s="85">
        <f t="shared" si="7"/>
        <v>47443.525212798799</v>
      </c>
      <c r="X53" s="71">
        <f>VLOOKUP(B53,[10]AKSoftSalesReport!$B$2:$C$94,2,0)</f>
        <v>48443</v>
      </c>
      <c r="Y53" s="7">
        <f t="shared" si="25"/>
        <v>1.7837504339035092E-2</v>
      </c>
      <c r="Z53" s="85">
        <f t="shared" si="8"/>
        <v>55742.201059484665</v>
      </c>
      <c r="AA53" s="71">
        <f>VLOOKUP(B53,[11]AKSoftSalesReport!$B$2:$C$94,2,0)</f>
        <v>170712</v>
      </c>
      <c r="AB53" s="7">
        <f t="shared" si="26"/>
        <v>6.2858948469858567E-2</v>
      </c>
      <c r="AC53" s="85">
        <f t="shared" si="9"/>
        <v>196434.21396830803</v>
      </c>
      <c r="AD53" s="51">
        <f>VLOOKUP(B53,[12]AKSoftSalesReport!$B$2:$C$89,2,0)</f>
        <v>611336</v>
      </c>
      <c r="AE53" s="7">
        <f t="shared" si="27"/>
        <v>0.22510390670702385</v>
      </c>
      <c r="AF53" s="85">
        <f t="shared" si="10"/>
        <v>703449.70845944958</v>
      </c>
      <c r="AG53" s="154">
        <f>VLOOKUP(B53,[13]AKSoftSalesReport!$B$2:$C$90,2,0)</f>
        <v>522279</v>
      </c>
      <c r="AH53" s="7">
        <f t="shared" si="28"/>
        <v>0.19231166378397102</v>
      </c>
      <c r="AI53" s="85">
        <f t="shared" si="11"/>
        <v>600973.94932490948</v>
      </c>
      <c r="AJ53" s="104">
        <f>VLOOKUP(B53,[14]AKSoftSalesReport!$A:$D,4,0)</f>
        <v>401126.71428571432</v>
      </c>
      <c r="AK53" s="7">
        <f t="shared" si="29"/>
        <v>0.14770141210441795</v>
      </c>
      <c r="AL53" s="85">
        <f t="shared" si="12"/>
        <v>461566.91282630607</v>
      </c>
      <c r="AM53" s="6">
        <f t="shared" si="13"/>
        <v>2715794.7142857146</v>
      </c>
      <c r="AN53" s="6"/>
      <c r="AO53" s="73">
        <v>2715794.7142857146</v>
      </c>
      <c r="AP53" s="87">
        <f t="shared" si="30"/>
        <v>3123163.9214285719</v>
      </c>
      <c r="AQ53" s="237">
        <v>0.15</v>
      </c>
      <c r="AR53" s="3">
        <v>3125000</v>
      </c>
      <c r="AS53" s="240">
        <f t="shared" si="31"/>
        <v>3124999.9999999995</v>
      </c>
      <c r="AT53" s="31">
        <f t="shared" si="32"/>
        <v>0</v>
      </c>
      <c r="AV53" s="253">
        <f>VLOOKUP(B53,[17]AKSoftSalesReport!$A:$B,2,0)</f>
        <v>145015</v>
      </c>
      <c r="AW53" s="28">
        <f t="shared" si="14"/>
        <v>143710</v>
      </c>
      <c r="AX53" s="28">
        <f>VLOOKUP(B53,[18]AKSoftSalesReport!$A:$B,2,0)</f>
        <v>16954</v>
      </c>
      <c r="AY53" s="79">
        <f t="shared" si="15"/>
        <v>160664</v>
      </c>
      <c r="AZ53" s="28">
        <v>16954</v>
      </c>
      <c r="BA53" s="28">
        <f t="shared" si="16"/>
        <v>31042</v>
      </c>
      <c r="BB53" s="28">
        <f>VLOOKUP(B53,[19]AKSoftSalesReport!$A:$B,2,0)</f>
        <v>91205</v>
      </c>
      <c r="BC53" s="28">
        <f t="shared" si="17"/>
        <v>122247</v>
      </c>
    </row>
    <row r="54" spans="1:55" x14ac:dyDescent="0.3">
      <c r="A54" s="239">
        <v>51</v>
      </c>
      <c r="B54" s="89" t="s">
        <v>61</v>
      </c>
      <c r="C54" s="70">
        <f>VLOOKUP(B54,[3]AKSoftSalesReport!$B$2:$C$87,2,0)</f>
        <v>281868.88000000059</v>
      </c>
      <c r="D54" s="7">
        <f t="shared" si="18"/>
        <v>5.6407020331595982E-2</v>
      </c>
      <c r="E54" s="85">
        <f t="shared" si="1"/>
        <v>380747.38723827287</v>
      </c>
      <c r="F54" s="70">
        <f>VLOOKUP(B54,[4]AKSoftSalesReport!$B$2:$C$87,2,0)</f>
        <v>588573.96</v>
      </c>
      <c r="G54" s="7">
        <f t="shared" si="19"/>
        <v>0.11778420990769853</v>
      </c>
      <c r="H54" s="85">
        <f t="shared" si="2"/>
        <v>795043.41687696509</v>
      </c>
      <c r="I54" s="70">
        <f>VLOOKUP(B54,[5]AKSoftSalesReport!$B$2:$C$87,2,0)</f>
        <v>76589</v>
      </c>
      <c r="J54" s="7">
        <f t="shared" si="20"/>
        <v>1.5326833101180222E-2</v>
      </c>
      <c r="K54" s="85">
        <f t="shared" si="3"/>
        <v>103456.1234329665</v>
      </c>
      <c r="L54" s="6">
        <f>VLOOKUP(B54,[6]AKSoftSalesReport!$B$2:$C$87,2,0)</f>
        <v>305425</v>
      </c>
      <c r="M54" s="7">
        <f t="shared" si="21"/>
        <v>6.1121022600216339E-2</v>
      </c>
      <c r="N54" s="85">
        <f t="shared" si="4"/>
        <v>412566.90255146031</v>
      </c>
      <c r="O54" s="6">
        <f>VLOOKUP(B54,[7]AKSoftSalesReport!$B$2:$C$89,2,0)</f>
        <v>205791</v>
      </c>
      <c r="P54" s="7">
        <f t="shared" si="22"/>
        <v>4.118247151320658E-2</v>
      </c>
      <c r="Q54" s="85">
        <f t="shared" si="5"/>
        <v>277981.68271414441</v>
      </c>
      <c r="R54" s="6">
        <f>VLOOKUP(B54,[8]AKSoftSalesReport!$B$2:$C$93,2,0)</f>
        <v>149947</v>
      </c>
      <c r="S54" s="7">
        <f t="shared" si="23"/>
        <v>3.000708513001437E-2</v>
      </c>
      <c r="T54" s="85">
        <f t="shared" si="6"/>
        <v>202547.824627597</v>
      </c>
      <c r="U54" s="71">
        <f>VLOOKUP(B54,[9]AKSoftSalesReport!$B$2:$C$94,2,0)</f>
        <v>132809</v>
      </c>
      <c r="V54" s="7">
        <f t="shared" si="24"/>
        <v>2.6577463830767395E-2</v>
      </c>
      <c r="W54" s="85">
        <f t="shared" si="7"/>
        <v>179397.88085767991</v>
      </c>
      <c r="X54" s="71">
        <f>VLOOKUP(B54,[10]AKSoftSalesReport!$B$2:$C$94,2,0)</f>
        <v>122375</v>
      </c>
      <c r="Y54" s="7">
        <f t="shared" si="25"/>
        <v>2.4489433218307193E-2</v>
      </c>
      <c r="Z54" s="85">
        <f t="shared" si="8"/>
        <v>165303.67422357356</v>
      </c>
      <c r="AA54" s="71">
        <f>VLOOKUP(B54,[11]AKSoftSalesReport!$B$2:$C$94,2,0)</f>
        <v>385333</v>
      </c>
      <c r="AB54" s="7">
        <f t="shared" si="26"/>
        <v>7.7112047152686131E-2</v>
      </c>
      <c r="AC54" s="85">
        <f t="shared" si="9"/>
        <v>520506.31828063139</v>
      </c>
      <c r="AD54" s="51">
        <f>VLOOKUP(B54,[12]AKSoftSalesReport!$B$2:$C$89,2,0)</f>
        <v>964064.12000000011</v>
      </c>
      <c r="AE54" s="7">
        <f t="shared" si="27"/>
        <v>0.1929265281708363</v>
      </c>
      <c r="AF54" s="85">
        <f t="shared" si="10"/>
        <v>1302254.065153145</v>
      </c>
      <c r="AG54" s="154">
        <f>VLOOKUP(B54,[13]AKSoftSalesReport!$B$2:$C$90,2,0)</f>
        <v>924521</v>
      </c>
      <c r="AH54" s="7">
        <f t="shared" si="28"/>
        <v>0.18501324035483216</v>
      </c>
      <c r="AI54" s="85">
        <f t="shared" si="11"/>
        <v>1248839.3723951171</v>
      </c>
      <c r="AJ54" s="104">
        <f>VLOOKUP(B54,[14]AKSoftSalesReport!$A:$D,4,0)</f>
        <v>859756.2142857142</v>
      </c>
      <c r="AK54" s="7">
        <f t="shared" si="29"/>
        <v>0.17205264468865869</v>
      </c>
      <c r="AL54" s="85">
        <f t="shared" si="12"/>
        <v>1161355.3516484462</v>
      </c>
      <c r="AM54" s="6">
        <f t="shared" si="13"/>
        <v>4997053.1742857154</v>
      </c>
      <c r="AN54" s="6"/>
      <c r="AO54" s="103">
        <v>4997053.1742857154</v>
      </c>
      <c r="AP54" s="87">
        <f t="shared" si="30"/>
        <v>6746021.7852857159</v>
      </c>
      <c r="AQ54" s="237">
        <v>0.35</v>
      </c>
      <c r="AR54" s="3">
        <v>6750000</v>
      </c>
      <c r="AS54" s="240">
        <f t="shared" si="31"/>
        <v>6749999.9999999991</v>
      </c>
      <c r="AT54" s="31">
        <f t="shared" si="32"/>
        <v>0</v>
      </c>
      <c r="AV54" s="253">
        <f>VLOOKUP(B54,[17]AKSoftSalesReport!$A:$B,2,0)</f>
        <v>202098.96</v>
      </c>
      <c r="AW54" s="28">
        <f t="shared" si="14"/>
        <v>386475</v>
      </c>
      <c r="AX54" s="28">
        <f>VLOOKUP(B54,[18]AKSoftSalesReport!$A:$B,2,0)</f>
        <v>22118</v>
      </c>
      <c r="AY54" s="79">
        <f t="shared" si="15"/>
        <v>408593</v>
      </c>
      <c r="AZ54" s="28">
        <v>22118</v>
      </c>
      <c r="BA54" s="28">
        <f t="shared" si="16"/>
        <v>54471</v>
      </c>
      <c r="BB54" s="28">
        <f>VLOOKUP(B54,[19]AKSoftSalesReport!$A:$B,2,0)</f>
        <v>144332</v>
      </c>
      <c r="BC54" s="28">
        <f t="shared" si="17"/>
        <v>198803</v>
      </c>
    </row>
    <row r="55" spans="1:55" ht="15.75" customHeight="1" x14ac:dyDescent="0.3">
      <c r="A55" s="61">
        <v>52</v>
      </c>
      <c r="B55" s="90" t="s">
        <v>112</v>
      </c>
      <c r="C55" s="70">
        <f>VLOOKUP(B55,[3]AKSoftSalesReport!$B$2:$C$87,2,0)</f>
        <v>849447.12000000069</v>
      </c>
      <c r="D55" s="7">
        <f t="shared" si="18"/>
        <v>6.8526105610533045E-2</v>
      </c>
      <c r="E55" s="85">
        <f t="shared" si="1"/>
        <v>1146784.3773922706</v>
      </c>
      <c r="F55" s="70">
        <f>VLOOKUP(B55,[4]AKSoftSalesReport!$B$2:$C$87,2,0)</f>
        <v>1030787</v>
      </c>
      <c r="G55" s="7">
        <f t="shared" si="19"/>
        <v>8.3155051280843079E-2</v>
      </c>
      <c r="H55" s="85">
        <f t="shared" si="2"/>
        <v>1391599.783184909</v>
      </c>
      <c r="I55" s="70">
        <f>VLOOKUP(B55,[5]AKSoftSalesReport!$B$2:$C$87,2,0)</f>
        <v>211407</v>
      </c>
      <c r="J55" s="7">
        <f t="shared" si="20"/>
        <v>1.7054502943992498E-2</v>
      </c>
      <c r="K55" s="85">
        <f t="shared" si="3"/>
        <v>285407.10676771443</v>
      </c>
      <c r="L55" s="6">
        <f>VLOOKUP(B55,[6]AKSoftSalesReport!$B$2:$C$87,2,0)</f>
        <v>897213</v>
      </c>
      <c r="M55" s="7">
        <f t="shared" si="21"/>
        <v>7.2379446990347249E-2</v>
      </c>
      <c r="N55" s="85">
        <f t="shared" si="4"/>
        <v>1211270.0453834613</v>
      </c>
      <c r="O55" s="6">
        <f>VLOOKUP(B55,[7]AKSoftSalesReport!$B$2:$C$89,2,0)</f>
        <v>1257733.06</v>
      </c>
      <c r="P55" s="7">
        <f t="shared" si="22"/>
        <v>0.10146311226462082</v>
      </c>
      <c r="Q55" s="85">
        <f t="shared" si="5"/>
        <v>1697985.1837484294</v>
      </c>
      <c r="R55" s="6">
        <f>VLOOKUP(B55,[8]AKSoftSalesReport!$B$2:$C$93,2,0)</f>
        <v>870388.98000000138</v>
      </c>
      <c r="S55" s="7">
        <f t="shared" si="23"/>
        <v>7.0215515199726825E-2</v>
      </c>
      <c r="T55" s="85">
        <f t="shared" si="6"/>
        <v>1175056.6468674284</v>
      </c>
      <c r="U55" s="71">
        <f>VLOOKUP(B55,[9]AKSoftSalesReport!$B$2:$C$94,2,0)</f>
        <v>1162597</v>
      </c>
      <c r="V55" s="7">
        <f t="shared" si="24"/>
        <v>9.3788351185991214E-2</v>
      </c>
      <c r="W55" s="85">
        <f t="shared" si="7"/>
        <v>1569548.0570975631</v>
      </c>
      <c r="X55" s="71">
        <f>VLOOKUP(B55,[10]AKSoftSalesReport!$B$2:$C$94,2,0)</f>
        <v>1222019.1400000001</v>
      </c>
      <c r="Y55" s="7">
        <f t="shared" si="25"/>
        <v>9.8582019614985222E-2</v>
      </c>
      <c r="Z55" s="85">
        <f t="shared" si="8"/>
        <v>1649770.0982567777</v>
      </c>
      <c r="AA55" s="71">
        <f>VLOOKUP(B55,[11]AKSoftSalesReport!$B$2:$C$94,2,0)</f>
        <v>1272293.2200000002</v>
      </c>
      <c r="AB55" s="7">
        <f t="shared" si="26"/>
        <v>0.1026377010511085</v>
      </c>
      <c r="AC55" s="85">
        <f t="shared" si="9"/>
        <v>1717641.9270903007</v>
      </c>
      <c r="AD55" s="51">
        <f>VLOOKUP(B55,[12]AKSoftSalesReport!$B$2:$C$89,2,0)</f>
        <v>1353127</v>
      </c>
      <c r="AE55" s="7">
        <f t="shared" si="27"/>
        <v>0.10915867688910838</v>
      </c>
      <c r="AF55" s="85">
        <f t="shared" si="10"/>
        <v>1826770.4577392288</v>
      </c>
      <c r="AG55" s="154">
        <f>VLOOKUP(B55,[13]AKSoftSalesReport!$B$2:$C$90,2,0)</f>
        <v>1110107</v>
      </c>
      <c r="AH55" s="7">
        <f t="shared" si="28"/>
        <v>8.955390833627401E-2</v>
      </c>
      <c r="AI55" s="85">
        <f t="shared" si="11"/>
        <v>1498684.6560075455</v>
      </c>
      <c r="AJ55" s="104">
        <f>VLOOKUP(B55,[14]AKSoftSalesReport!$A:$D,4,0)</f>
        <v>1158844.2142857143</v>
      </c>
      <c r="AK55" s="7">
        <f t="shared" si="29"/>
        <v>9.3485608632469061E-2</v>
      </c>
      <c r="AL55" s="85">
        <f t="shared" si="12"/>
        <v>1564481.6604643697</v>
      </c>
      <c r="AM55" s="6">
        <f t="shared" si="13"/>
        <v>12395963.734285718</v>
      </c>
      <c r="AN55" s="101"/>
      <c r="AO55" s="73">
        <v>12395963.734285718</v>
      </c>
      <c r="AP55" s="87">
        <f t="shared" si="30"/>
        <v>16734551.04128572</v>
      </c>
      <c r="AQ55" s="237">
        <v>0.35</v>
      </c>
      <c r="AR55" s="1">
        <v>16735000</v>
      </c>
      <c r="AS55" s="240">
        <f t="shared" si="31"/>
        <v>16735000</v>
      </c>
      <c r="AT55" s="31">
        <f t="shared" si="32"/>
        <v>0</v>
      </c>
      <c r="AV55" s="253">
        <f>VLOOKUP(B55,[17]AKSoftSalesReport!$A:$B,2,0)</f>
        <v>367329.5</v>
      </c>
      <c r="AW55" s="28">
        <f t="shared" si="14"/>
        <v>663457.5</v>
      </c>
      <c r="AX55" s="28">
        <f>VLOOKUP(B55,[18]AKSoftSalesReport!$A:$B,2,0)</f>
        <v>39527</v>
      </c>
      <c r="AY55" s="79">
        <f t="shared" si="15"/>
        <v>702984.5</v>
      </c>
      <c r="AZ55" s="28">
        <v>39527</v>
      </c>
      <c r="BA55" s="28">
        <f t="shared" si="16"/>
        <v>171880</v>
      </c>
      <c r="BB55" s="28">
        <f>VLOOKUP(B55,[19]AKSoftSalesReport!$A:$B,2,0)</f>
        <v>227026</v>
      </c>
      <c r="BC55" s="28">
        <f t="shared" si="17"/>
        <v>398906</v>
      </c>
    </row>
    <row r="56" spans="1:55" ht="15.75" customHeight="1" x14ac:dyDescent="0.3">
      <c r="A56" s="239">
        <v>53</v>
      </c>
      <c r="B56" s="102" t="s">
        <v>231</v>
      </c>
      <c r="C56" s="70">
        <v>0</v>
      </c>
      <c r="D56" s="7">
        <f t="shared" si="18"/>
        <v>0</v>
      </c>
      <c r="E56" s="85">
        <f t="shared" si="1"/>
        <v>0</v>
      </c>
      <c r="F56" s="70">
        <v>0</v>
      </c>
      <c r="G56" s="7">
        <f t="shared" si="19"/>
        <v>0</v>
      </c>
      <c r="H56" s="85">
        <f t="shared" si="2"/>
        <v>0</v>
      </c>
      <c r="I56" s="70">
        <v>0</v>
      </c>
      <c r="J56" s="7">
        <f t="shared" si="20"/>
        <v>0</v>
      </c>
      <c r="K56" s="85">
        <f t="shared" si="3"/>
        <v>0</v>
      </c>
      <c r="L56" s="6">
        <v>0</v>
      </c>
      <c r="M56" s="7">
        <f t="shared" si="21"/>
        <v>0</v>
      </c>
      <c r="N56" s="85">
        <f t="shared" si="4"/>
        <v>0</v>
      </c>
      <c r="O56" s="6">
        <v>0</v>
      </c>
      <c r="P56" s="7">
        <f t="shared" si="22"/>
        <v>0</v>
      </c>
      <c r="Q56" s="85">
        <f t="shared" si="5"/>
        <v>0</v>
      </c>
      <c r="R56" s="6">
        <v>0</v>
      </c>
      <c r="S56" s="7">
        <f t="shared" si="23"/>
        <v>0</v>
      </c>
      <c r="T56" s="85">
        <f t="shared" si="6"/>
        <v>0</v>
      </c>
      <c r="U56" s="71">
        <v>0</v>
      </c>
      <c r="V56" s="7">
        <f t="shared" si="24"/>
        <v>0</v>
      </c>
      <c r="W56" s="85">
        <f t="shared" si="7"/>
        <v>0</v>
      </c>
      <c r="X56" s="71">
        <v>0</v>
      </c>
      <c r="Y56" s="7">
        <f t="shared" si="25"/>
        <v>0</v>
      </c>
      <c r="Z56" s="85">
        <f t="shared" si="8"/>
        <v>0</v>
      </c>
      <c r="AA56" s="71">
        <v>0</v>
      </c>
      <c r="AB56" s="7">
        <f t="shared" si="26"/>
        <v>0</v>
      </c>
      <c r="AC56" s="85">
        <f t="shared" si="9"/>
        <v>0</v>
      </c>
      <c r="AD56" s="51">
        <f>VLOOKUP(B56,[12]AKSoftSalesReport!$B$2:$C$89,2,0)</f>
        <v>315372.12</v>
      </c>
      <c r="AE56" s="7">
        <f t="shared" si="27"/>
        <v>8.7603366666666668E-2</v>
      </c>
      <c r="AF56" s="85">
        <f t="shared" si="10"/>
        <v>425752.36200000002</v>
      </c>
      <c r="AG56" s="154">
        <f>VLOOKUP(B56,[13]AKSoftSalesReport!$B$2:$C$90,2,0)</f>
        <v>340378</v>
      </c>
      <c r="AH56" s="7">
        <f t="shared" si="28"/>
        <v>9.454944444444445E-2</v>
      </c>
      <c r="AI56" s="85">
        <f t="shared" si="11"/>
        <v>459510.30000000005</v>
      </c>
      <c r="AJ56" s="104">
        <f>VLOOKUP(B56,[14]AKSoftSalesReport!$A:$D,4,0)</f>
        <v>327313.5</v>
      </c>
      <c r="AK56" s="7">
        <f t="shared" si="29"/>
        <v>9.092041666666667E-2</v>
      </c>
      <c r="AL56" s="85">
        <f t="shared" si="12"/>
        <v>441873.22500000003</v>
      </c>
      <c r="AM56" s="6">
        <f t="shared" si="13"/>
        <v>983063.62</v>
      </c>
      <c r="AN56" s="101">
        <f>AM56/93</f>
        <v>10570.576559139785</v>
      </c>
      <c r="AO56" s="225">
        <v>3600000</v>
      </c>
      <c r="AP56" s="87">
        <f t="shared" si="30"/>
        <v>4860000</v>
      </c>
      <c r="AQ56" s="237">
        <v>0.35</v>
      </c>
      <c r="AR56" s="3">
        <v>4860000</v>
      </c>
      <c r="AS56" s="240">
        <f t="shared" si="31"/>
        <v>1327135.8870000001</v>
      </c>
      <c r="AT56" s="31">
        <f t="shared" si="32"/>
        <v>-3532864.1129999999</v>
      </c>
      <c r="AV56" s="253">
        <v>0</v>
      </c>
      <c r="AW56" s="28">
        <f t="shared" si="14"/>
        <v>0</v>
      </c>
      <c r="AX56" s="28">
        <v>0</v>
      </c>
      <c r="AY56" s="79">
        <f t="shared" si="15"/>
        <v>0</v>
      </c>
      <c r="AZ56" s="28">
        <v>0</v>
      </c>
      <c r="BA56" s="28">
        <f t="shared" si="16"/>
        <v>0</v>
      </c>
      <c r="BB56" s="28">
        <v>0</v>
      </c>
      <c r="BC56" s="28">
        <f t="shared" si="17"/>
        <v>0</v>
      </c>
    </row>
    <row r="57" spans="1:55" x14ac:dyDescent="0.3">
      <c r="A57" s="61">
        <v>54</v>
      </c>
      <c r="B57" s="90" t="s">
        <v>142</v>
      </c>
      <c r="C57" s="70">
        <f>VLOOKUP(B57,[3]AKSoftSalesReport!$B$2:$C$87,2,0)</f>
        <v>1601484.0400000024</v>
      </c>
      <c r="D57" s="7">
        <f t="shared" si="18"/>
        <v>6.7179081660281789E-2</v>
      </c>
      <c r="E57" s="85">
        <f t="shared" si="1"/>
        <v>2161822.8478278681</v>
      </c>
      <c r="F57" s="70">
        <f>VLOOKUP(B57,[4]AKSoftSalesReport!$B$2:$C$87,2,0)</f>
        <v>1531959.03</v>
      </c>
      <c r="G57" s="7">
        <f t="shared" si="19"/>
        <v>6.4262645275300984E-2</v>
      </c>
      <c r="H57" s="85">
        <f t="shared" si="2"/>
        <v>2067971.9249591858</v>
      </c>
      <c r="I57" s="70">
        <f>VLOOKUP(B57,[5]AKSoftSalesReport!$B$2:$C$87,2,0)</f>
        <v>1010578</v>
      </c>
      <c r="J57" s="7">
        <f t="shared" si="20"/>
        <v>4.23917443386349E-2</v>
      </c>
      <c r="K57" s="85">
        <f t="shared" si="3"/>
        <v>1364166.3328172711</v>
      </c>
      <c r="L57" s="6">
        <f>VLOOKUP(B57,[6]AKSoftSalesReport!$B$2:$C$87,2,0)</f>
        <v>1561530</v>
      </c>
      <c r="M57" s="7">
        <f t="shared" si="21"/>
        <v>6.5503088863114525E-2</v>
      </c>
      <c r="N57" s="85">
        <f t="shared" si="4"/>
        <v>2107889.3996150256</v>
      </c>
      <c r="O57" s="6">
        <f>VLOOKUP(B57,[7]AKSoftSalesReport!$B$2:$C$89,2,0)</f>
        <v>1910133.350000001</v>
      </c>
      <c r="P57" s="7">
        <f t="shared" si="22"/>
        <v>8.0126308534225227E-2</v>
      </c>
      <c r="Q57" s="85">
        <f t="shared" si="5"/>
        <v>2578464.6086313678</v>
      </c>
      <c r="R57" s="6">
        <f>VLOOKUP(B57,[8]AKSoftSalesReport!$B$2:$C$93,2,0)</f>
        <v>2201515.2500000023</v>
      </c>
      <c r="S57" s="7">
        <f t="shared" si="23"/>
        <v>9.2349201779185763E-2</v>
      </c>
      <c r="T57" s="85">
        <f t="shared" si="6"/>
        <v>2971797.3132541981</v>
      </c>
      <c r="U57" s="71">
        <f>VLOOKUP(B57,[9]AKSoftSalesReport!$B$2:$C$94,2,0)</f>
        <v>2817260.6799999992</v>
      </c>
      <c r="V57" s="7">
        <f t="shared" si="24"/>
        <v>0.11817850228468131</v>
      </c>
      <c r="W57" s="85">
        <f t="shared" si="7"/>
        <v>3802984.2035210445</v>
      </c>
      <c r="X57" s="71">
        <f>VLOOKUP(B57,[10]AKSoftSalesReport!$B$2:$C$94,2,0)</f>
        <v>2887192.5599999954</v>
      </c>
      <c r="Y57" s="7">
        <f t="shared" si="25"/>
        <v>0.12111200605982775</v>
      </c>
      <c r="Z57" s="85">
        <f t="shared" si="8"/>
        <v>3897384.3550052568</v>
      </c>
      <c r="AA57" s="71">
        <f>VLOOKUP(B57,[11]AKSoftSalesReport!$B$2:$C$94,2,0)</f>
        <v>2271513.6500000004</v>
      </c>
      <c r="AB57" s="7">
        <f t="shared" si="26"/>
        <v>9.5285495936503081E-2</v>
      </c>
      <c r="AC57" s="85">
        <f t="shared" si="9"/>
        <v>3066287.2592366692</v>
      </c>
      <c r="AD57" s="51">
        <f>VLOOKUP(B57,[12]AKSoftSalesReport!$B$2:$C$89,2,0)</f>
        <v>1991498.8100000017</v>
      </c>
      <c r="AE57" s="7">
        <f t="shared" si="27"/>
        <v>8.3539428331326937E-2</v>
      </c>
      <c r="AF57" s="85">
        <f t="shared" si="10"/>
        <v>2688298.8037021006</v>
      </c>
      <c r="AG57" s="154">
        <f>VLOOKUP(B57,[13]AKSoftSalesReport!$B$2:$C$90,2,0)</f>
        <v>2013852</v>
      </c>
      <c r="AH57" s="7">
        <f t="shared" si="28"/>
        <v>8.4477100352321713E-2</v>
      </c>
      <c r="AI57" s="85">
        <f t="shared" si="11"/>
        <v>2718473.0893377126</v>
      </c>
      <c r="AJ57" s="104">
        <f>VLOOKUP(B57,[14]AKSoftSalesReport!$A:$D,4,0)</f>
        <v>2040511.0957142857</v>
      </c>
      <c r="AK57" s="7">
        <f t="shared" si="29"/>
        <v>8.5595396584595917E-2</v>
      </c>
      <c r="AL57" s="85">
        <f t="shared" si="12"/>
        <v>2754459.8620922966</v>
      </c>
      <c r="AM57" s="6">
        <f t="shared" si="13"/>
        <v>23839028.465714291</v>
      </c>
      <c r="AN57" s="155"/>
      <c r="AO57" s="73">
        <v>23839028.465714291</v>
      </c>
      <c r="AP57" s="87">
        <f>(AO57*AQ57)+AO57</f>
        <v>32182688.42871429</v>
      </c>
      <c r="AQ57" s="237">
        <v>0.35</v>
      </c>
      <c r="AR57" s="3">
        <v>32180000</v>
      </c>
      <c r="AS57" s="240">
        <f>E57+H57+K57+N57+Q57+T57+W57+Z57+AC57+AF57+AI57+AL57</f>
        <v>32180000.000000004</v>
      </c>
      <c r="AT57" s="31">
        <f>AS57-AR57</f>
        <v>0</v>
      </c>
      <c r="AV57" s="253">
        <f>VLOOKUP(B57,[17]AKSoftSalesReport!$A:$B,2,0)</f>
        <v>553757.5</v>
      </c>
      <c r="AW57" s="28">
        <f t="shared" si="14"/>
        <v>978201.53</v>
      </c>
      <c r="AX57" s="28">
        <f>VLOOKUP(B57,[18]AKSoftSalesReport!$A:$B,2,0)</f>
        <v>306332</v>
      </c>
      <c r="AY57" s="79">
        <f t="shared" si="15"/>
        <v>1284533.53</v>
      </c>
      <c r="AZ57" s="28">
        <v>306332</v>
      </c>
      <c r="BA57" s="28">
        <f t="shared" si="16"/>
        <v>704246</v>
      </c>
      <c r="BB57" s="28">
        <f>VLOOKUP(B57,[19]AKSoftSalesReport!$A:$B,2,0)</f>
        <v>487242</v>
      </c>
      <c r="BC57" s="28">
        <f t="shared" si="17"/>
        <v>1191488</v>
      </c>
    </row>
    <row r="58" spans="1:55" x14ac:dyDescent="0.3">
      <c r="A58" s="239">
        <v>55</v>
      </c>
      <c r="B58" s="89" t="s">
        <v>8</v>
      </c>
      <c r="C58" s="70">
        <f>VLOOKUP(B58,[3]AKSoftSalesReport!$B$2:$C$87,2,0)</f>
        <v>3701872.3599999696</v>
      </c>
      <c r="D58" s="7">
        <f t="shared" si="18"/>
        <v>7.4710591181593386E-2</v>
      </c>
      <c r="E58" s="85">
        <f t="shared" si="1"/>
        <v>4812482.7309623379</v>
      </c>
      <c r="F58" s="70">
        <f>VLOOKUP(B58,[4]AKSoftSalesReport!$B$2:$C$87,2,0)</f>
        <v>3442293.5999999987</v>
      </c>
      <c r="G58" s="7">
        <f t="shared" si="19"/>
        <v>6.9471814494602768E-2</v>
      </c>
      <c r="H58" s="85">
        <f t="shared" si="2"/>
        <v>4475026.9306698376</v>
      </c>
      <c r="I58" s="70">
        <f>VLOOKUP(B58,[5]AKSoftSalesReport!$B$2:$C$87,2,0)</f>
        <v>1867581</v>
      </c>
      <c r="J58" s="7">
        <f t="shared" si="20"/>
        <v>3.7691218664684729E-2</v>
      </c>
      <c r="K58" s="85">
        <f t="shared" si="3"/>
        <v>2427879.850285667</v>
      </c>
      <c r="L58" s="6">
        <f>VLOOKUP(B58,[6]AKSoftSalesReport!$B$2:$C$87,2,0)</f>
        <v>3748657.7299999986</v>
      </c>
      <c r="M58" s="7">
        <f t="shared" si="21"/>
        <v>7.565480597654968E-2</v>
      </c>
      <c r="N58" s="85">
        <f t="shared" si="4"/>
        <v>4873304.3269794481</v>
      </c>
      <c r="O58" s="6">
        <f>VLOOKUP(B58,[7]AKSoftSalesReport!$B$2:$C$89,2,0)</f>
        <v>4018850.2799999942</v>
      </c>
      <c r="P58" s="7">
        <f t="shared" si="22"/>
        <v>8.1107788462245672E-2</v>
      </c>
      <c r="Q58" s="85">
        <f t="shared" si="5"/>
        <v>5224558.1937955553</v>
      </c>
      <c r="R58" s="6">
        <f>VLOOKUP(B58,[8]AKSoftSalesReport!$B$2:$C$93,2,0)</f>
        <v>4457650.0099999923</v>
      </c>
      <c r="S58" s="7">
        <f t="shared" si="23"/>
        <v>8.9963573873124522E-2</v>
      </c>
      <c r="T58" s="85">
        <f t="shared" si="6"/>
        <v>5795003.6110373158</v>
      </c>
      <c r="U58" s="71">
        <f>VLOOKUP(B58,[9]AKSoftSalesReport!$B$2:$C$94,2,0)</f>
        <v>5013961.3999999957</v>
      </c>
      <c r="V58" s="7">
        <f t="shared" si="24"/>
        <v>0.10119096066178046</v>
      </c>
      <c r="W58" s="85">
        <f t="shared" si="7"/>
        <v>6518215.7310285885</v>
      </c>
      <c r="X58" s="71">
        <v>5519880.4699998898</v>
      </c>
      <c r="Y58" s="7">
        <f t="shared" si="25"/>
        <v>0.11140133777206374</v>
      </c>
      <c r="Z58" s="85">
        <f t="shared" si="8"/>
        <v>7175917.172587486</v>
      </c>
      <c r="AA58" s="71">
        <v>4649458.24</v>
      </c>
      <c r="AB58" s="7">
        <f t="shared" si="26"/>
        <v>9.3834616649109304E-2</v>
      </c>
      <c r="AC58" s="85">
        <f t="shared" si="9"/>
        <v>6044356.8314523762</v>
      </c>
      <c r="AD58" s="51">
        <v>4551807.8600000003</v>
      </c>
      <c r="AE58" s="7">
        <f t="shared" si="27"/>
        <v>9.1863852422406661E-2</v>
      </c>
      <c r="AF58" s="85">
        <f t="shared" si="10"/>
        <v>5917410.0537893251</v>
      </c>
      <c r="AG58" s="154">
        <v>4159877</v>
      </c>
      <c r="AH58" s="7">
        <f t="shared" si="28"/>
        <v>8.3953966990022236E-2</v>
      </c>
      <c r="AI58" s="85">
        <f t="shared" si="11"/>
        <v>5407894.7836622819</v>
      </c>
      <c r="AJ58" s="104">
        <v>4417609.0092857154</v>
      </c>
      <c r="AK58" s="7">
        <f t="shared" si="29"/>
        <v>8.9155472851816964E-2</v>
      </c>
      <c r="AL58" s="85">
        <f t="shared" si="12"/>
        <v>5742949.7837497899</v>
      </c>
      <c r="AM58" s="6">
        <f t="shared" si="13"/>
        <v>49549498.95928555</v>
      </c>
      <c r="AN58" s="155"/>
      <c r="AO58" s="73">
        <v>49549498.95928555</v>
      </c>
      <c r="AP58" s="87">
        <f t="shared" si="30"/>
        <v>64414348.647071213</v>
      </c>
      <c r="AQ58" s="237">
        <v>0.3</v>
      </c>
      <c r="AR58" s="25">
        <v>64415000</v>
      </c>
      <c r="AS58" s="240">
        <f t="shared" si="31"/>
        <v>64415000.000000007</v>
      </c>
      <c r="AT58" s="31">
        <f t="shared" ref="AT58:AT93" si="33">AS58-AR58</f>
        <v>0</v>
      </c>
      <c r="AV58" s="253">
        <v>1100479</v>
      </c>
      <c r="AW58" s="28">
        <f t="shared" si="14"/>
        <v>2341814.5999999987</v>
      </c>
      <c r="AX58" s="28">
        <v>483914</v>
      </c>
      <c r="AY58" s="79">
        <f t="shared" si="15"/>
        <v>2825728.5999999987</v>
      </c>
      <c r="AZ58" s="28">
        <v>483914</v>
      </c>
      <c r="BA58" s="28">
        <f t="shared" si="16"/>
        <v>1383667</v>
      </c>
      <c r="BB58" s="28">
        <v>1276935</v>
      </c>
      <c r="BC58" s="28">
        <f t="shared" si="17"/>
        <v>2660602</v>
      </c>
    </row>
    <row r="59" spans="1:55" x14ac:dyDescent="0.3">
      <c r="A59" s="61">
        <v>56</v>
      </c>
      <c r="B59" s="106" t="s">
        <v>222</v>
      </c>
      <c r="C59" s="70">
        <f>VLOOKUP(B59,[3]AKSoftSalesReport!$B$2:$C$87,2,0)</f>
        <v>538831.25</v>
      </c>
      <c r="D59" s="7">
        <f t="shared" si="18"/>
        <v>4.098297851602458E-2</v>
      </c>
      <c r="E59" s="85">
        <f t="shared" si="1"/>
        <v>727447.86865943635</v>
      </c>
      <c r="F59" s="70">
        <f>VLOOKUP(B59,[4]AKSoftSalesReport!$B$2:$C$87,2,0)</f>
        <v>705659.5</v>
      </c>
      <c r="G59" s="7">
        <f t="shared" si="19"/>
        <v>5.3671772244331867E-2</v>
      </c>
      <c r="H59" s="85">
        <f t="shared" si="2"/>
        <v>952673.95733689063</v>
      </c>
      <c r="I59" s="70">
        <f>VLOOKUP(B59,[5]AKSoftSalesReport!$B$2:$C$87,2,0)</f>
        <v>529219</v>
      </c>
      <c r="J59" s="7">
        <f t="shared" si="20"/>
        <v>4.0251880170780761E-2</v>
      </c>
      <c r="K59" s="85">
        <f t="shared" si="3"/>
        <v>714470.87303135847</v>
      </c>
      <c r="L59" s="6">
        <f>VLOOKUP(B59,[6]AKSoftSalesReport!$B$2:$C$87,2,0)</f>
        <v>848590.05</v>
      </c>
      <c r="M59" s="7">
        <f t="shared" si="21"/>
        <v>6.4542930255181416E-2</v>
      </c>
      <c r="N59" s="85">
        <f t="shared" si="4"/>
        <v>1145637.0120294702</v>
      </c>
      <c r="O59" s="6">
        <f>VLOOKUP(B59,[7]AKSoftSalesReport!$B$2:$C$89,2,0)</f>
        <v>1089660.29</v>
      </c>
      <c r="P59" s="7">
        <f t="shared" si="22"/>
        <v>8.2878497219370836E-2</v>
      </c>
      <c r="Q59" s="85">
        <f t="shared" si="5"/>
        <v>1471093.3256438323</v>
      </c>
      <c r="R59" s="6">
        <f>VLOOKUP(B59,[8]AKSoftSalesReport!$B$2:$C$93,2,0)</f>
        <v>1023850.250000001</v>
      </c>
      <c r="S59" s="7">
        <f t="shared" si="23"/>
        <v>7.787304986371231E-2</v>
      </c>
      <c r="T59" s="85">
        <f t="shared" si="6"/>
        <v>1382246.6350808935</v>
      </c>
      <c r="U59" s="71">
        <f>VLOOKUP(B59,[9]AKSoftSalesReport!$B$2:$C$94,2,0)</f>
        <v>1261498.18</v>
      </c>
      <c r="V59" s="7">
        <f t="shared" si="24"/>
        <v>9.5948319272395777E-2</v>
      </c>
      <c r="W59" s="85">
        <f t="shared" si="7"/>
        <v>1703082.667085025</v>
      </c>
      <c r="X59" s="71">
        <f>VLOOKUP(B59,[10]AKSoftSalesReport!$B$2:$C$94,2,0)</f>
        <v>1379653.68</v>
      </c>
      <c r="Y59" s="7">
        <f t="shared" si="25"/>
        <v>0.10493511118182965</v>
      </c>
      <c r="Z59" s="85">
        <f t="shared" si="8"/>
        <v>1862598.2234774763</v>
      </c>
      <c r="AA59" s="71">
        <f>VLOOKUP(B59,[11]AKSoftSalesReport!$B$2:$C$94,2,0)</f>
        <v>1422454.320000001</v>
      </c>
      <c r="AB59" s="7">
        <f t="shared" si="26"/>
        <v>0.10819048605029198</v>
      </c>
      <c r="AC59" s="85">
        <f t="shared" si="9"/>
        <v>1920381.1273926827</v>
      </c>
      <c r="AD59" s="51">
        <f>VLOOKUP(B59,[12]AKSoftSalesReport!$B$2:$C$89,2,0)</f>
        <v>1457841.6</v>
      </c>
      <c r="AE59" s="7">
        <f t="shared" si="27"/>
        <v>0.11088200799891784</v>
      </c>
      <c r="AF59" s="85">
        <f t="shared" si="10"/>
        <v>1968155.6419807917</v>
      </c>
      <c r="AG59" s="154">
        <f>VLOOKUP(B59,[13]AKSoftSalesReport!$B$2:$C$90,2,0)</f>
        <v>1360666.0899999999</v>
      </c>
      <c r="AH59" s="7">
        <f t="shared" si="28"/>
        <v>0.10349093363451574</v>
      </c>
      <c r="AI59" s="85">
        <f t="shared" si="11"/>
        <v>1836964.0720126543</v>
      </c>
      <c r="AJ59" s="104">
        <f>VLOOKUP(B59,[14]AKSoftSalesReport!$A:$D,4,0)</f>
        <v>1529759.7678571427</v>
      </c>
      <c r="AK59" s="7">
        <f t="shared" si="29"/>
        <v>0.11635203359264709</v>
      </c>
      <c r="AL59" s="85">
        <f t="shared" si="12"/>
        <v>2065248.5962694858</v>
      </c>
      <c r="AM59" s="6">
        <f t="shared" si="13"/>
        <v>13147683.977857146</v>
      </c>
      <c r="AN59" s="155"/>
      <c r="AO59" s="101">
        <v>13147683.977857146</v>
      </c>
      <c r="AP59" s="87">
        <f t="shared" si="30"/>
        <v>17749373.370107148</v>
      </c>
      <c r="AQ59" s="237">
        <v>0.35</v>
      </c>
      <c r="AR59" s="25">
        <v>17750000</v>
      </c>
      <c r="AS59" s="240">
        <f t="shared" si="31"/>
        <v>17749999.999999996</v>
      </c>
      <c r="AT59" s="31">
        <f t="shared" si="33"/>
        <v>0</v>
      </c>
      <c r="AV59" s="253">
        <f>VLOOKUP(B59,[17]AKSoftSalesReport!$A:$B,2,0)</f>
        <v>279756</v>
      </c>
      <c r="AW59" s="28">
        <f t="shared" si="14"/>
        <v>425903.5</v>
      </c>
      <c r="AX59" s="28">
        <f>VLOOKUP(B59,[18]AKSoftSalesReport!$A:$B,2,0)</f>
        <v>122120</v>
      </c>
      <c r="AY59" s="79">
        <f t="shared" si="15"/>
        <v>548023.5</v>
      </c>
      <c r="AZ59" s="28">
        <v>122120</v>
      </c>
      <c r="BA59" s="28">
        <f t="shared" si="16"/>
        <v>407099</v>
      </c>
      <c r="BB59" s="28">
        <f>VLOOKUP(B59,[19]AKSoftSalesReport!$A:$B,2,0)</f>
        <v>280834</v>
      </c>
      <c r="BC59" s="28">
        <f t="shared" si="17"/>
        <v>687933</v>
      </c>
    </row>
    <row r="60" spans="1:55" x14ac:dyDescent="0.3">
      <c r="A60" s="239">
        <v>57</v>
      </c>
      <c r="B60" s="89" t="s">
        <v>91</v>
      </c>
      <c r="C60" s="70">
        <f>VLOOKUP(B60,[3]AKSoftSalesReport!$B$2:$C$87,2,0)</f>
        <v>1799803</v>
      </c>
      <c r="D60" s="7">
        <f t="shared" si="18"/>
        <v>7.4228709880806792E-2</v>
      </c>
      <c r="E60" s="85">
        <f t="shared" si="1"/>
        <v>2339688.9354430302</v>
      </c>
      <c r="F60" s="70">
        <f>VLOOKUP(B60,[4]AKSoftSalesReport!$B$2:$C$87,2,0)</f>
        <v>1692483.5</v>
      </c>
      <c r="G60" s="7">
        <f t="shared" si="19"/>
        <v>6.9802565447191975E-2</v>
      </c>
      <c r="H60" s="85">
        <f t="shared" si="2"/>
        <v>2200176.8628954911</v>
      </c>
      <c r="I60" s="70">
        <f>VLOOKUP(B60,[5]AKSoftSalesReport!$B$2:$C$87,2,0)</f>
        <v>1330515.5</v>
      </c>
      <c r="J60" s="7">
        <f t="shared" si="20"/>
        <v>5.4874032903276963E-2</v>
      </c>
      <c r="K60" s="85">
        <f t="shared" si="3"/>
        <v>1729629.5171112898</v>
      </c>
      <c r="L60" s="6">
        <f>VLOOKUP(B60,[6]AKSoftSalesReport!$B$2:$C$87,2,0)</f>
        <v>1921202.1400000001</v>
      </c>
      <c r="M60" s="7">
        <f t="shared" si="21"/>
        <v>7.923553648507374E-2</v>
      </c>
      <c r="N60" s="85">
        <f t="shared" si="4"/>
        <v>2497504.1100095245</v>
      </c>
      <c r="O60" s="6">
        <f>VLOOKUP(B60,[7]AKSoftSalesReport!$B$2:$C$89,2,0)</f>
        <v>2392384.2699999972</v>
      </c>
      <c r="P60" s="7">
        <f t="shared" si="22"/>
        <v>9.866835309266378E-2</v>
      </c>
      <c r="Q60" s="85">
        <f t="shared" si="5"/>
        <v>3110026.4894807623</v>
      </c>
      <c r="R60" s="6">
        <f>VLOOKUP(B60,[8]AKSoftSalesReport!$B$2:$C$93,2,0)</f>
        <v>2008699.760000004</v>
      </c>
      <c r="S60" s="7">
        <f t="shared" si="23"/>
        <v>8.2844173347131067E-2</v>
      </c>
      <c r="T60" s="85">
        <f t="shared" si="6"/>
        <v>2611248.3439015714</v>
      </c>
      <c r="U60" s="71">
        <f>VLOOKUP(B60,[9]AKSoftSalesReport!$B$2:$C$94,2,0)</f>
        <v>1871573.2000000011</v>
      </c>
      <c r="V60" s="7">
        <f t="shared" si="24"/>
        <v>7.7188705699175561E-2</v>
      </c>
      <c r="W60" s="85">
        <f t="shared" si="7"/>
        <v>2432988.0036380137</v>
      </c>
      <c r="X60" s="71">
        <f>VLOOKUP(B60,[10]AKSoftSalesReport!$B$2:$C$94,2,0)</f>
        <v>1906305.3000000012</v>
      </c>
      <c r="Y60" s="7">
        <f t="shared" si="25"/>
        <v>7.862115079147243E-2</v>
      </c>
      <c r="Z60" s="85">
        <f t="shared" si="8"/>
        <v>2478138.6729472112</v>
      </c>
      <c r="AA60" s="71">
        <f>VLOOKUP(B60,[11]AKSoftSalesReport!$B$2:$C$94,2,0)</f>
        <v>2410518.0799999996</v>
      </c>
      <c r="AB60" s="7">
        <f t="shared" si="26"/>
        <v>9.9416240123368721E-2</v>
      </c>
      <c r="AC60" s="85">
        <f t="shared" si="9"/>
        <v>3133599.888688582</v>
      </c>
      <c r="AD60" s="51">
        <f>VLOOKUP(B60,[12]AKSoftSalesReport!$B$2:$C$89,2,0)</f>
        <v>2314631.6000000006</v>
      </c>
      <c r="AE60" s="7">
        <f t="shared" si="27"/>
        <v>9.546162414294658E-2</v>
      </c>
      <c r="AF60" s="85">
        <f t="shared" si="10"/>
        <v>3008950.3929856764</v>
      </c>
      <c r="AG60" s="154">
        <f>VLOOKUP(B60,[13]AKSoftSalesReport!$B$2:$C$90,2,0)</f>
        <v>2188011</v>
      </c>
      <c r="AH60" s="7">
        <f t="shared" si="28"/>
        <v>9.0239450503757326E-2</v>
      </c>
      <c r="AI60" s="85">
        <f t="shared" si="11"/>
        <v>2844347.4798784307</v>
      </c>
      <c r="AJ60" s="104">
        <f>VLOOKUP(B60,[14]AKSoftSalesReport!$A:$D,4,0)</f>
        <v>2410596.0928571434</v>
      </c>
      <c r="AK60" s="7">
        <f t="shared" si="29"/>
        <v>9.9419457583135099E-2</v>
      </c>
      <c r="AL60" s="85">
        <f t="shared" si="12"/>
        <v>3133701.3030204182</v>
      </c>
      <c r="AM60" s="6">
        <f t="shared" si="13"/>
        <v>24246723.442857146</v>
      </c>
      <c r="AN60" s="155"/>
      <c r="AO60" s="73">
        <v>24246723.442857146</v>
      </c>
      <c r="AP60" s="87">
        <f t="shared" si="30"/>
        <v>31520740.475714289</v>
      </c>
      <c r="AQ60" s="237">
        <v>0.3</v>
      </c>
      <c r="AR60" s="1">
        <v>31520000</v>
      </c>
      <c r="AS60" s="240">
        <f t="shared" si="31"/>
        <v>31519999.999999996</v>
      </c>
      <c r="AT60" s="31">
        <f t="shared" si="33"/>
        <v>0</v>
      </c>
      <c r="AV60" s="253">
        <f>VLOOKUP(B60,[17]AKSoftSalesReport!$A:$B,2,0)</f>
        <v>596955</v>
      </c>
      <c r="AW60" s="28">
        <f t="shared" si="14"/>
        <v>1095528.5</v>
      </c>
      <c r="AX60" s="28">
        <f>VLOOKUP(B60,[18]AKSoftSalesReport!$A:$B,2,0)</f>
        <v>387963.5</v>
      </c>
      <c r="AY60" s="79">
        <f t="shared" si="15"/>
        <v>1483492</v>
      </c>
      <c r="AZ60" s="28">
        <v>387963.5</v>
      </c>
      <c r="BA60" s="28">
        <f t="shared" si="16"/>
        <v>942552</v>
      </c>
      <c r="BB60" s="28">
        <f>VLOOKUP(B60,[19]AKSoftSalesReport!$A:$B,2,0)</f>
        <v>610975</v>
      </c>
      <c r="BC60" s="28">
        <f t="shared" si="17"/>
        <v>1553527</v>
      </c>
    </row>
    <row r="61" spans="1:55" x14ac:dyDescent="0.3">
      <c r="A61" s="61">
        <v>58</v>
      </c>
      <c r="B61" s="90" t="s">
        <v>143</v>
      </c>
      <c r="C61" s="70">
        <f>VLOOKUP(B61,[3]AKSoftSalesReport!$B$2:$C$87,2,0)</f>
        <v>390624.04000000004</v>
      </c>
      <c r="D61" s="7">
        <f t="shared" si="18"/>
        <v>7.6256001123769471E-2</v>
      </c>
      <c r="E61" s="85">
        <f t="shared" si="1"/>
        <v>449147.84661900217</v>
      </c>
      <c r="F61" s="70">
        <f>VLOOKUP(B61,[4]AKSoftSalesReport!$B$2:$C$87,2,0)</f>
        <v>403822.61</v>
      </c>
      <c r="G61" s="7">
        <f t="shared" si="19"/>
        <v>7.8832571087953315E-2</v>
      </c>
      <c r="H61" s="85">
        <f t="shared" si="2"/>
        <v>464323.84370804502</v>
      </c>
      <c r="I61" s="70">
        <f>VLOOKUP(B61,[5]AKSoftSalesReport!$B$2:$C$87,2,0)</f>
        <v>359553</v>
      </c>
      <c r="J61" s="7">
        <f t="shared" si="20"/>
        <v>7.0190441868489925E-2</v>
      </c>
      <c r="K61" s="85">
        <f t="shared" si="3"/>
        <v>413421.70260540565</v>
      </c>
      <c r="L61" s="6">
        <f>VLOOKUP(B61,[6]AKSoftSalesReport!$B$2:$C$87,2,0)</f>
        <v>429677</v>
      </c>
      <c r="M61" s="7">
        <f t="shared" si="21"/>
        <v>8.3879757617728534E-2</v>
      </c>
      <c r="N61" s="85">
        <f t="shared" si="4"/>
        <v>494051.77236842108</v>
      </c>
      <c r="O61" s="6">
        <f>VLOOKUP(B61,[7]AKSoftSalesReport!$B$2:$C$89,2,0)</f>
        <v>490729.17000000016</v>
      </c>
      <c r="P61" s="7">
        <f t="shared" si="22"/>
        <v>9.5798108429236639E-2</v>
      </c>
      <c r="Q61" s="85">
        <f t="shared" si="5"/>
        <v>564250.85864820378</v>
      </c>
      <c r="R61" s="6">
        <f>VLOOKUP(B61,[8]AKSoftSalesReport!$B$2:$C$93,2,0)</f>
        <v>546865.06000000006</v>
      </c>
      <c r="S61" s="7">
        <f t="shared" si="23"/>
        <v>0.10675672349789395</v>
      </c>
      <c r="T61" s="85">
        <f t="shared" si="6"/>
        <v>628797.10140259529</v>
      </c>
      <c r="U61" s="71">
        <f>VLOOKUP(B61,[9]AKSoftSalesReport!$B$2:$C$94,2,0)</f>
        <v>510932</v>
      </c>
      <c r="V61" s="7">
        <f t="shared" si="24"/>
        <v>9.9742020911385232E-2</v>
      </c>
      <c r="W61" s="85">
        <f t="shared" si="7"/>
        <v>587480.50316805905</v>
      </c>
      <c r="X61" s="71">
        <f>VLOOKUP(B61,[10]AKSoftSalesReport!$B$2:$C$94,2,0)</f>
        <v>515678.06000000006</v>
      </c>
      <c r="Y61" s="7">
        <f t="shared" si="25"/>
        <v>0.10066852701350194</v>
      </c>
      <c r="Z61" s="85">
        <f t="shared" si="8"/>
        <v>592937.6241095264</v>
      </c>
      <c r="AA61" s="71">
        <f>VLOOKUP(B61,[11]AKSoftSalesReport!$B$2:$C$94,2,0)</f>
        <v>387233.12000000005</v>
      </c>
      <c r="AB61" s="7">
        <f t="shared" si="26"/>
        <v>7.5594039818647013E-2</v>
      </c>
      <c r="AC61" s="85">
        <f t="shared" si="9"/>
        <v>445248.89453183091</v>
      </c>
      <c r="AD61" s="51">
        <f>VLOOKUP(B61,[12]AKSoftSalesReport!$B$2:$C$89,2,0)</f>
        <v>422269.48000000033</v>
      </c>
      <c r="AE61" s="7">
        <f t="shared" si="27"/>
        <v>8.2433692359061089E-2</v>
      </c>
      <c r="AF61" s="85">
        <f t="shared" si="10"/>
        <v>485534.44799486984</v>
      </c>
      <c r="AG61" s="154">
        <f>VLOOKUP(B61,[13]AKSoftSalesReport!$B$2:$C$90,2,0)</f>
        <v>336848</v>
      </c>
      <c r="AH61" s="7">
        <f t="shared" si="28"/>
        <v>6.5758066161364509E-2</v>
      </c>
      <c r="AI61" s="85">
        <f t="shared" si="11"/>
        <v>387315.00969043694</v>
      </c>
      <c r="AJ61" s="104">
        <f>VLOOKUP(B61,[14]AKSoftSalesReport!$A:$D,4,0)</f>
        <v>328303.52928571426</v>
      </c>
      <c r="AK61" s="7">
        <f t="shared" si="29"/>
        <v>6.4090050110968355E-2</v>
      </c>
      <c r="AL61" s="85">
        <f t="shared" si="12"/>
        <v>377490.39515360363</v>
      </c>
      <c r="AM61" s="6">
        <f t="shared" si="13"/>
        <v>5122535.069285715</v>
      </c>
      <c r="AN61" s="155"/>
      <c r="AO61" s="103">
        <v>5122535.069285715</v>
      </c>
      <c r="AP61" s="87">
        <f t="shared" si="30"/>
        <v>5890915.3296785727</v>
      </c>
      <c r="AQ61" s="237">
        <v>0.15</v>
      </c>
      <c r="AR61" s="3">
        <v>5890000</v>
      </c>
      <c r="AS61" s="240">
        <f t="shared" si="31"/>
        <v>5889999.9999999991</v>
      </c>
      <c r="AT61" s="31">
        <f t="shared" si="33"/>
        <v>0</v>
      </c>
      <c r="AV61" s="253">
        <f>VLOOKUP(B61,[17]AKSoftSalesReport!$A:$B,2,0)</f>
        <v>150227</v>
      </c>
      <c r="AW61" s="28">
        <f t="shared" si="14"/>
        <v>253595.61</v>
      </c>
      <c r="AX61" s="28">
        <f>VLOOKUP(B61,[18]AKSoftSalesReport!$A:$B,2,0)</f>
        <v>99559</v>
      </c>
      <c r="AY61" s="79">
        <f t="shared" si="15"/>
        <v>353154.61</v>
      </c>
      <c r="AZ61" s="28">
        <v>99559</v>
      </c>
      <c r="BA61" s="28">
        <f t="shared" si="16"/>
        <v>259994</v>
      </c>
      <c r="BB61" s="28">
        <f>VLOOKUP(B61,[19]AKSoftSalesReport!$A:$B,2,0)</f>
        <v>161771</v>
      </c>
      <c r="BC61" s="28">
        <f t="shared" si="17"/>
        <v>421765</v>
      </c>
    </row>
    <row r="62" spans="1:55" x14ac:dyDescent="0.3">
      <c r="A62" s="239">
        <v>59</v>
      </c>
      <c r="B62" s="89" t="s">
        <v>92</v>
      </c>
      <c r="C62" s="70">
        <f>VLOOKUP(B62,[3]AKSoftSalesReport!$B$2:$C$87,2,0)</f>
        <v>1200301.1000000001</v>
      </c>
      <c r="D62" s="7">
        <f t="shared" si="18"/>
        <v>6.382717259271968E-2</v>
      </c>
      <c r="E62" s="85">
        <f t="shared" si="1"/>
        <v>1620571.9121291528</v>
      </c>
      <c r="F62" s="70">
        <f>VLOOKUP(B62,[4]AKSoftSalesReport!$B$2:$C$87,2,0)</f>
        <v>1069041.5</v>
      </c>
      <c r="G62" s="7">
        <f t="shared" si="19"/>
        <v>5.6847316335276149E-2</v>
      </c>
      <c r="H62" s="85">
        <f t="shared" si="2"/>
        <v>1443353.3617526614</v>
      </c>
      <c r="I62" s="70">
        <f>VLOOKUP(B62,[5]AKSoftSalesReport!$B$2:$C$87,2,0)</f>
        <v>982350</v>
      </c>
      <c r="J62" s="7">
        <f t="shared" si="20"/>
        <v>5.223741192643927E-2</v>
      </c>
      <c r="K62" s="85">
        <f t="shared" si="3"/>
        <v>1326307.8888122931</v>
      </c>
      <c r="L62" s="6">
        <f>VLOOKUP(B62,[6]AKSoftSalesReport!$B$2:$C$87,2,0)</f>
        <v>1435459.3400000003</v>
      </c>
      <c r="M62" s="7">
        <f t="shared" si="21"/>
        <v>7.6331939580836422E-2</v>
      </c>
      <c r="N62" s="85">
        <f t="shared" si="4"/>
        <v>1938067.9459574367</v>
      </c>
      <c r="O62" s="6">
        <f>VLOOKUP(B62,[7]AKSoftSalesReport!$B$2:$C$89,2,0)</f>
        <v>1678031.7400000007</v>
      </c>
      <c r="P62" s="7">
        <f t="shared" si="22"/>
        <v>8.923096170206106E-2</v>
      </c>
      <c r="Q62" s="85">
        <f t="shared" si="5"/>
        <v>2265574.1176153305</v>
      </c>
      <c r="R62" s="6">
        <f>VLOOKUP(B62,[8]AKSoftSalesReport!$B$2:$C$93,2,0)</f>
        <v>1658611.1000000031</v>
      </c>
      <c r="S62" s="7">
        <f t="shared" si="23"/>
        <v>8.8198250375593951E-2</v>
      </c>
      <c r="T62" s="85">
        <f t="shared" si="6"/>
        <v>2239353.5770363305</v>
      </c>
      <c r="U62" s="71">
        <f>VLOOKUP(B62,[9]AKSoftSalesReport!$B$2:$C$94,2,0)</f>
        <v>1800468.6400000011</v>
      </c>
      <c r="V62" s="7">
        <f t="shared" si="24"/>
        <v>9.5741662348771767E-2</v>
      </c>
      <c r="W62" s="85">
        <f t="shared" si="7"/>
        <v>2430880.8070353153</v>
      </c>
      <c r="X62" s="71">
        <f>VLOOKUP(B62,[10]AKSoftSalesReport!$B$2:$C$94,2,0)</f>
        <v>1763668.6700000006</v>
      </c>
      <c r="Y62" s="7">
        <f t="shared" si="25"/>
        <v>9.3784788330580057E-2</v>
      </c>
      <c r="Z62" s="85">
        <f t="shared" si="8"/>
        <v>2381195.7757134275</v>
      </c>
      <c r="AA62" s="71">
        <f>VLOOKUP(B62,[11]AKSoftSalesReport!$B$2:$C$94,2,0)</f>
        <v>1850130.1800000002</v>
      </c>
      <c r="AB62" s="7">
        <f t="shared" si="26"/>
        <v>9.8382462798592404E-2</v>
      </c>
      <c r="AC62" s="85">
        <f t="shared" si="9"/>
        <v>2497930.730456261</v>
      </c>
      <c r="AD62" s="51">
        <f>VLOOKUP(B62,[12]AKSoftSalesReport!$B$2:$C$89,2,0)</f>
        <v>2010717.9300000018</v>
      </c>
      <c r="AE62" s="7">
        <f t="shared" si="27"/>
        <v>0.10692187181481894</v>
      </c>
      <c r="AF62" s="85">
        <f t="shared" si="10"/>
        <v>2714746.3253782527</v>
      </c>
      <c r="AG62" s="154">
        <f>VLOOKUP(B62,[13]AKSoftSalesReport!$B$2:$C$90,2,0)</f>
        <v>1767902</v>
      </c>
      <c r="AH62" s="7">
        <f t="shared" si="28"/>
        <v>9.400989975016627E-2</v>
      </c>
      <c r="AI62" s="85">
        <f t="shared" si="11"/>
        <v>2386911.3546567215</v>
      </c>
      <c r="AJ62" s="104">
        <f>VLOOKUP(B62,[14]AKSoftSalesReport!$A:$D,4,0)</f>
        <v>1588805.3571428573</v>
      </c>
      <c r="AK62" s="7">
        <f t="shared" si="29"/>
        <v>8.4486262444144034E-2</v>
      </c>
      <c r="AL62" s="85">
        <f t="shared" si="12"/>
        <v>2145106.2034568172</v>
      </c>
      <c r="AM62" s="6">
        <f t="shared" si="13"/>
        <v>18805487.557142865</v>
      </c>
      <c r="AN62" s="155"/>
      <c r="AO62" s="73">
        <v>18805487.557142865</v>
      </c>
      <c r="AP62" s="87">
        <f t="shared" si="30"/>
        <v>25387408.202142868</v>
      </c>
      <c r="AQ62" s="237">
        <v>0.35</v>
      </c>
      <c r="AR62" s="1">
        <v>25390000</v>
      </c>
      <c r="AS62" s="240">
        <f t="shared" si="31"/>
        <v>25390000</v>
      </c>
      <c r="AT62" s="31">
        <f t="shared" si="33"/>
        <v>0</v>
      </c>
      <c r="AV62" s="253">
        <f>VLOOKUP(B62,[17]AKSoftSalesReport!$A:$B,2,0)</f>
        <v>389299.5</v>
      </c>
      <c r="AW62" s="28">
        <f t="shared" si="14"/>
        <v>679742</v>
      </c>
      <c r="AX62" s="28">
        <f>VLOOKUP(B62,[18]AKSoftSalesReport!$A:$B,2,0)</f>
        <v>267011</v>
      </c>
      <c r="AY62" s="79">
        <f t="shared" si="15"/>
        <v>946753</v>
      </c>
      <c r="AZ62" s="28">
        <v>267011</v>
      </c>
      <c r="BA62" s="28">
        <f t="shared" si="16"/>
        <v>715339</v>
      </c>
      <c r="BB62" s="28">
        <f>VLOOKUP(B62,[19]AKSoftSalesReport!$A:$B,2,0)</f>
        <v>462306</v>
      </c>
      <c r="BC62" s="28">
        <f t="shared" si="17"/>
        <v>1177645</v>
      </c>
    </row>
    <row r="63" spans="1:55" x14ac:dyDescent="0.3">
      <c r="A63" s="61">
        <v>60</v>
      </c>
      <c r="B63" s="90" t="s">
        <v>104</v>
      </c>
      <c r="C63" s="70">
        <f>VLOOKUP(B63,[3]AKSoftSalesReport!$B$2:$C$87,2,0)</f>
        <v>472237.5</v>
      </c>
      <c r="D63" s="7">
        <f t="shared" si="18"/>
        <v>8.4494062674139656E-2</v>
      </c>
      <c r="E63" s="85">
        <f t="shared" si="1"/>
        <v>542874.35268134729</v>
      </c>
      <c r="F63" s="70">
        <f>VLOOKUP(B63,[4]AKSoftSalesReport!$B$2:$C$87,2,0)</f>
        <v>437315.5</v>
      </c>
      <c r="G63" s="7">
        <f t="shared" si="19"/>
        <v>7.8245720141608244E-2</v>
      </c>
      <c r="H63" s="85">
        <f t="shared" si="2"/>
        <v>502728.75190983299</v>
      </c>
      <c r="I63" s="70">
        <f>VLOOKUP(B63,[5]AKSoftSalesReport!$B$2:$C$87,2,0)</f>
        <v>317758</v>
      </c>
      <c r="J63" s="7">
        <f t="shared" si="20"/>
        <v>5.6854155731404794E-2</v>
      </c>
      <c r="K63" s="85">
        <f t="shared" si="3"/>
        <v>365287.9505742758</v>
      </c>
      <c r="L63" s="6">
        <f>VLOOKUP(B63,[6]AKSoftSalesReport!$B$2:$C$87,2,0)</f>
        <v>383686</v>
      </c>
      <c r="M63" s="7">
        <f t="shared" si="21"/>
        <v>6.8650179054374011E-2</v>
      </c>
      <c r="N63" s="85">
        <f t="shared" si="4"/>
        <v>441077.40042435302</v>
      </c>
      <c r="O63" s="6">
        <f>VLOOKUP(B63,[7]AKSoftSalesReport!$B$2:$C$89,2,0)</f>
        <v>395714</v>
      </c>
      <c r="P63" s="7">
        <f t="shared" si="22"/>
        <v>7.080226266875142E-2</v>
      </c>
      <c r="Q63" s="85">
        <f t="shared" si="5"/>
        <v>454904.53764672787</v>
      </c>
      <c r="R63" s="6">
        <f>VLOOKUP(B63,[8]AKSoftSalesReport!$B$2:$C$93,2,0)</f>
        <v>426427</v>
      </c>
      <c r="S63" s="7">
        <f t="shared" si="23"/>
        <v>7.6297519074502454E-2</v>
      </c>
      <c r="T63" s="85">
        <f t="shared" si="6"/>
        <v>490211.56005367829</v>
      </c>
      <c r="U63" s="71">
        <f>VLOOKUP(B63,[9]AKSoftSalesReport!$B$2:$C$94,2,0)</f>
        <v>444493.01</v>
      </c>
      <c r="V63" s="7">
        <f t="shared" si="24"/>
        <v>7.9529940432847848E-2</v>
      </c>
      <c r="W63" s="85">
        <f t="shared" si="7"/>
        <v>510979.86728104745</v>
      </c>
      <c r="X63" s="71">
        <f>VLOOKUP(B63,[10]AKSoftSalesReport!$B$2:$C$94,2,0)</f>
        <v>553690.14</v>
      </c>
      <c r="Y63" s="7">
        <f t="shared" si="25"/>
        <v>9.9067798282036407E-2</v>
      </c>
      <c r="Z63" s="85">
        <f t="shared" si="8"/>
        <v>636510.60396208393</v>
      </c>
      <c r="AA63" s="71">
        <f>VLOOKUP(B63,[11]AKSoftSalesReport!$B$2:$C$94,2,0)</f>
        <v>488517.04</v>
      </c>
      <c r="AB63" s="7">
        <f t="shared" si="26"/>
        <v>8.7406843791831848E-2</v>
      </c>
      <c r="AC63" s="85">
        <f t="shared" si="9"/>
        <v>561588.97136251966</v>
      </c>
      <c r="AD63" s="51">
        <f>VLOOKUP(B63,[12]AKSoftSalesReport!$B$2:$C$89,2,0)</f>
        <v>541093.77000000048</v>
      </c>
      <c r="AE63" s="7">
        <f t="shared" si="27"/>
        <v>9.6814020307507451E-2</v>
      </c>
      <c r="AF63" s="85">
        <f t="shared" si="10"/>
        <v>622030.08047573536</v>
      </c>
      <c r="AG63" s="154">
        <f>VLOOKUP(B63,[13]AKSoftSalesReport!$B$2:$C$90,2,0)</f>
        <v>536433</v>
      </c>
      <c r="AH63" s="7">
        <f t="shared" si="28"/>
        <v>9.5980102220761296E-2</v>
      </c>
      <c r="AI63" s="85">
        <f t="shared" si="11"/>
        <v>616672.15676839137</v>
      </c>
      <c r="AJ63" s="104">
        <f>VLOOKUP(B63,[14]AKSoftSalesReport!$A:$D,4,0)</f>
        <v>591637.2142857142</v>
      </c>
      <c r="AK63" s="7">
        <f t="shared" si="29"/>
        <v>0.10585739562023459</v>
      </c>
      <c r="AL63" s="85">
        <f t="shared" si="12"/>
        <v>680133.76686000731</v>
      </c>
      <c r="AM63" s="6">
        <f t="shared" si="13"/>
        <v>5589002.1742857145</v>
      </c>
      <c r="AN63" s="155"/>
      <c r="AO63" s="73">
        <v>5589002.1742857145</v>
      </c>
      <c r="AP63" s="87">
        <f t="shared" si="30"/>
        <v>6427352.5004285714</v>
      </c>
      <c r="AQ63" s="237">
        <v>0.15</v>
      </c>
      <c r="AR63" s="1">
        <v>6425000</v>
      </c>
      <c r="AS63" s="240">
        <f t="shared" si="31"/>
        <v>6425000.0000000009</v>
      </c>
      <c r="AT63" s="31">
        <f t="shared" si="33"/>
        <v>0</v>
      </c>
      <c r="AV63" s="253">
        <f>VLOOKUP(B63,[17]AKSoftSalesReport!$A:$B,2,0)</f>
        <v>134981</v>
      </c>
      <c r="AW63" s="28">
        <f t="shared" si="14"/>
        <v>302334.5</v>
      </c>
      <c r="AX63" s="28">
        <f>VLOOKUP(B63,[18]AKSoftSalesReport!$A:$B,2,0)</f>
        <v>85772</v>
      </c>
      <c r="AY63" s="79">
        <f t="shared" si="15"/>
        <v>388106.5</v>
      </c>
      <c r="AZ63" s="28">
        <v>85772</v>
      </c>
      <c r="BA63" s="28">
        <f t="shared" si="16"/>
        <v>231986</v>
      </c>
      <c r="BB63" s="28">
        <f>VLOOKUP(B63,[19]AKSoftSalesReport!$A:$B,2,0)</f>
        <v>125615</v>
      </c>
      <c r="BC63" s="28">
        <f t="shared" si="17"/>
        <v>357601</v>
      </c>
    </row>
    <row r="64" spans="1:55" x14ac:dyDescent="0.3">
      <c r="A64" s="239">
        <v>61</v>
      </c>
      <c r="B64" s="89" t="s">
        <v>9</v>
      </c>
      <c r="C64" s="70">
        <f>VLOOKUP(B64,[3]AKSoftSalesReport!$B$2:$C$87,2,0)</f>
        <v>387394.81</v>
      </c>
      <c r="D64" s="7">
        <f t="shared" si="18"/>
        <v>7.3136362459017376E-2</v>
      </c>
      <c r="E64" s="85">
        <f t="shared" si="1"/>
        <v>446131.81100000598</v>
      </c>
      <c r="F64" s="70">
        <f>VLOOKUP(B64,[4]AKSoftSalesReport!$B$2:$C$87,2,0)</f>
        <v>363256.37</v>
      </c>
      <c r="G64" s="7">
        <f t="shared" si="19"/>
        <v>6.8579260372298029E-2</v>
      </c>
      <c r="H64" s="85">
        <f t="shared" si="2"/>
        <v>418333.48827101797</v>
      </c>
      <c r="I64" s="70">
        <f>VLOOKUP(B64,[5]AKSoftSalesReport!$B$2:$C$87,2,0)</f>
        <v>356580</v>
      </c>
      <c r="J64" s="7">
        <f t="shared" si="20"/>
        <v>6.731882682072178E-2</v>
      </c>
      <c r="K64" s="85">
        <f t="shared" si="3"/>
        <v>410644.84360640286</v>
      </c>
      <c r="L64" s="6">
        <f>VLOOKUP(B64,[6]AKSoftSalesReport!$B$2:$C$87,2,0)</f>
        <v>435452.43</v>
      </c>
      <c r="M64" s="7">
        <f t="shared" si="21"/>
        <v>8.2209172482563431E-2</v>
      </c>
      <c r="N64" s="85">
        <f t="shared" si="4"/>
        <v>501475.95214363694</v>
      </c>
      <c r="O64" s="6">
        <f>VLOOKUP(B64,[7]AKSoftSalesReport!$B$2:$C$89,2,0)</f>
        <v>486319</v>
      </c>
      <c r="P64" s="7">
        <f t="shared" si="22"/>
        <v>9.1812284874717015E-2</v>
      </c>
      <c r="Q64" s="85">
        <f t="shared" si="5"/>
        <v>560054.93773577374</v>
      </c>
      <c r="R64" s="6">
        <f>VLOOKUP(B64,[8]AKSoftSalesReport!$B$2:$C$93,2,0)</f>
        <v>412271</v>
      </c>
      <c r="S64" s="7">
        <f t="shared" si="23"/>
        <v>7.7832744551589506E-2</v>
      </c>
      <c r="T64" s="85">
        <f t="shared" si="6"/>
        <v>474779.74176469597</v>
      </c>
      <c r="U64" s="71">
        <f>VLOOKUP(B64,[9]AKSoftSalesReport!$B$2:$C$94,2,0)</f>
        <v>467742</v>
      </c>
      <c r="V64" s="7">
        <f t="shared" si="24"/>
        <v>8.830512842778071E-2</v>
      </c>
      <c r="W64" s="85">
        <f t="shared" si="7"/>
        <v>538661.28340946231</v>
      </c>
      <c r="X64" s="71">
        <f>VLOOKUP(B64,[10]AKSoftSalesReport!$B$2:$C$94,2,0)</f>
        <v>462563.25000000006</v>
      </c>
      <c r="Y64" s="7">
        <f t="shared" si="25"/>
        <v>8.7327430928207508E-2</v>
      </c>
      <c r="Z64" s="85">
        <f t="shared" si="8"/>
        <v>532697.32866206579</v>
      </c>
      <c r="AA64" s="71">
        <f>VLOOKUP(B64,[11]AKSoftSalesReport!$B$2:$C$94,2,0)</f>
        <v>458700.18</v>
      </c>
      <c r="AB64" s="7">
        <f t="shared" si="26"/>
        <v>8.6598120982819854E-2</v>
      </c>
      <c r="AC64" s="85">
        <f t="shared" si="9"/>
        <v>528248.53799520107</v>
      </c>
      <c r="AD64" s="51">
        <f>VLOOKUP(B64,[12]AKSoftSalesReport!$B$2:$C$89,2,0)</f>
        <v>453683.02</v>
      </c>
      <c r="AE64" s="7">
        <f t="shared" si="27"/>
        <v>8.565093009950657E-2</v>
      </c>
      <c r="AF64" s="85">
        <f t="shared" si="10"/>
        <v>522470.67360699008</v>
      </c>
      <c r="AG64" s="154">
        <f>VLOOKUP(B64,[13]AKSoftSalesReport!$B$2:$C$90,2,0)</f>
        <v>483034.02</v>
      </c>
      <c r="AH64" s="7">
        <f t="shared" si="28"/>
        <v>9.1192112684101906E-2</v>
      </c>
      <c r="AI64" s="85">
        <f t="shared" si="11"/>
        <v>556271.88737302157</v>
      </c>
      <c r="AJ64" s="104">
        <f>VLOOKUP(B64,[14]AKSoftSalesReport!$A:$D,4,0)</f>
        <v>529887.67214285734</v>
      </c>
      <c r="AK64" s="7">
        <f t="shared" si="29"/>
        <v>0.10003762531667623</v>
      </c>
      <c r="AL64" s="85">
        <f t="shared" si="12"/>
        <v>610229.51443172502</v>
      </c>
      <c r="AM64" s="6">
        <f t="shared" si="13"/>
        <v>5296883.7521428578</v>
      </c>
      <c r="AN64" s="155"/>
      <c r="AO64" s="73">
        <v>5296883.7521428578</v>
      </c>
      <c r="AP64" s="87">
        <f t="shared" si="30"/>
        <v>6091416.3149642861</v>
      </c>
      <c r="AQ64" s="237">
        <v>0.15</v>
      </c>
      <c r="AR64" s="1">
        <v>6100000</v>
      </c>
      <c r="AS64" s="240">
        <f t="shared" si="31"/>
        <v>6100000</v>
      </c>
      <c r="AT64" s="31">
        <f t="shared" si="33"/>
        <v>0</v>
      </c>
      <c r="AV64" s="253">
        <f>VLOOKUP(B64,[17]AKSoftSalesReport!$A:$B,2,0)</f>
        <v>126077</v>
      </c>
      <c r="AW64" s="28">
        <f t="shared" si="14"/>
        <v>237179.37</v>
      </c>
      <c r="AX64" s="28">
        <f>VLOOKUP(B64,[18]AKSoftSalesReport!$A:$B,2,0)</f>
        <v>101625</v>
      </c>
      <c r="AY64" s="79">
        <f t="shared" si="15"/>
        <v>338804.37</v>
      </c>
      <c r="AZ64" s="28">
        <v>101625</v>
      </c>
      <c r="BA64" s="28">
        <f t="shared" si="16"/>
        <v>254955</v>
      </c>
      <c r="BB64" s="28">
        <f>VLOOKUP(B64,[19]AKSoftSalesReport!$A:$B,2,0)</f>
        <v>135840</v>
      </c>
      <c r="BC64" s="28">
        <f t="shared" si="17"/>
        <v>390795</v>
      </c>
    </row>
    <row r="65" spans="1:55" x14ac:dyDescent="0.3">
      <c r="A65" s="61">
        <v>62</v>
      </c>
      <c r="B65" s="90" t="s">
        <v>93</v>
      </c>
      <c r="C65" s="70">
        <f>VLOOKUP(B65,[3]AKSoftSalesReport!$B$2:$C$87,2,0)</f>
        <v>1574635</v>
      </c>
      <c r="D65" s="7">
        <f t="shared" si="18"/>
        <v>7.3427769612226357E-2</v>
      </c>
      <c r="E65" s="85">
        <f t="shared" si="1"/>
        <v>1857722.5711893269</v>
      </c>
      <c r="F65" s="70">
        <f>VLOOKUP(B65,[4]AKSoftSalesReport!$B$2:$C$87,2,0)</f>
        <v>1359322.5</v>
      </c>
      <c r="G65" s="7">
        <f t="shared" si="19"/>
        <v>6.3387400482470893E-2</v>
      </c>
      <c r="H65" s="85">
        <f t="shared" si="2"/>
        <v>1603701.2322065136</v>
      </c>
      <c r="I65" s="70">
        <f>VLOOKUP(B65,[5]AKSoftSalesReport!$B$2:$C$87,2,0)</f>
        <v>1087652</v>
      </c>
      <c r="J65" s="7">
        <f t="shared" si="20"/>
        <v>5.0718966918858792E-2</v>
      </c>
      <c r="K65" s="85">
        <f t="shared" si="3"/>
        <v>1283189.8630471274</v>
      </c>
      <c r="L65" s="6">
        <f>VLOOKUP(B65,[6]AKSoftSalesReport!$B$2:$C$87,2,0)</f>
        <v>1495441.1999999997</v>
      </c>
      <c r="M65" s="7">
        <f t="shared" si="21"/>
        <v>6.9734834994923459E-2</v>
      </c>
      <c r="N65" s="85">
        <f t="shared" si="4"/>
        <v>1764291.3253715634</v>
      </c>
      <c r="O65" s="6">
        <f>VLOOKUP(B65,[7]AKSoftSalesReport!$B$2:$C$89,2,0)</f>
        <v>1859361.5000000005</v>
      </c>
      <c r="P65" s="7">
        <f t="shared" si="22"/>
        <v>8.6705025512479814E-2</v>
      </c>
      <c r="Q65" s="85">
        <f t="shared" si="5"/>
        <v>2193637.1454657391</v>
      </c>
      <c r="R65" s="6">
        <f>VLOOKUP(B65,[8]AKSoftSalesReport!$B$2:$C$93,2,0)</f>
        <v>1652645.0700000024</v>
      </c>
      <c r="S65" s="7">
        <f t="shared" si="23"/>
        <v>7.7065504990516454E-2</v>
      </c>
      <c r="T65" s="85">
        <f t="shared" si="6"/>
        <v>1949757.2762600663</v>
      </c>
      <c r="U65" s="71">
        <f>VLOOKUP(B65,[9]AKSoftSalesReport!$B$2:$C$94,2,0)</f>
        <v>1792490.7200000002</v>
      </c>
      <c r="V65" s="7">
        <f t="shared" si="24"/>
        <v>8.3586733192272333E-2</v>
      </c>
      <c r="W65" s="85">
        <f t="shared" si="7"/>
        <v>2114744.34976449</v>
      </c>
      <c r="X65" s="71">
        <f>VLOOKUP(B65,[10]AKSoftSalesReport!$B$2:$C$94,2,0)</f>
        <v>2002017.0500000007</v>
      </c>
      <c r="Y65" s="7">
        <f t="shared" si="25"/>
        <v>9.335728388302629E-2</v>
      </c>
      <c r="Z65" s="85">
        <f t="shared" si="8"/>
        <v>2361939.2822405649</v>
      </c>
      <c r="AA65" s="71">
        <f>VLOOKUP(B65,[11]AKSoftSalesReport!$B$2:$C$94,2,0)</f>
        <v>2127538.3400000003</v>
      </c>
      <c r="AB65" s="7">
        <f t="shared" si="26"/>
        <v>9.9210544075737248E-2</v>
      </c>
      <c r="AC65" s="85">
        <f t="shared" si="9"/>
        <v>2510026.7651161524</v>
      </c>
      <c r="AD65" s="51">
        <f>VLOOKUP(B65,[12]AKSoftSalesReport!$B$2:$C$89,2,0)</f>
        <v>2238845.689999993</v>
      </c>
      <c r="AE65" s="7">
        <f t="shared" si="27"/>
        <v>0.10440098532208761</v>
      </c>
      <c r="AF65" s="85">
        <f t="shared" si="10"/>
        <v>2641344.9286488164</v>
      </c>
      <c r="AG65" s="154">
        <f>VLOOKUP(B65,[13]AKSoftSalesReport!$B$2:$C$90,2,0)</f>
        <v>2138758</v>
      </c>
      <c r="AH65" s="7">
        <f t="shared" si="28"/>
        <v>9.9733734916540029E-2</v>
      </c>
      <c r="AI65" s="85">
        <f t="shared" si="11"/>
        <v>2523263.4933884628</v>
      </c>
      <c r="AJ65" s="104">
        <f>VLOOKUP(B65,[14]AKSoftSalesReport!$A:$D,4,0)</f>
        <v>2115972.6242857152</v>
      </c>
      <c r="AK65" s="7">
        <f t="shared" si="29"/>
        <v>9.8671216098860676E-2</v>
      </c>
      <c r="AL65" s="85">
        <f t="shared" si="12"/>
        <v>2496381.7673011753</v>
      </c>
      <c r="AM65" s="6">
        <f t="shared" si="13"/>
        <v>21444679.694285713</v>
      </c>
      <c r="AN65" s="155"/>
      <c r="AO65" s="73">
        <v>21444679.694285713</v>
      </c>
      <c r="AP65" s="87">
        <f t="shared" si="30"/>
        <v>25304722.039257143</v>
      </c>
      <c r="AQ65" s="237">
        <v>0.18</v>
      </c>
      <c r="AR65" s="1">
        <v>25300000</v>
      </c>
      <c r="AS65" s="240">
        <f t="shared" si="31"/>
        <v>25300000</v>
      </c>
      <c r="AT65" s="31">
        <f t="shared" si="33"/>
        <v>0</v>
      </c>
      <c r="AV65" s="253">
        <f>VLOOKUP(B65,[17]AKSoftSalesReport!$A:$B,2,0)</f>
        <v>491781.5</v>
      </c>
      <c r="AW65" s="28">
        <f t="shared" si="14"/>
        <v>867541</v>
      </c>
      <c r="AX65" s="28">
        <f>VLOOKUP(B65,[18]AKSoftSalesReport!$A:$B,2,0)</f>
        <v>345367</v>
      </c>
      <c r="AY65" s="79">
        <f t="shared" si="15"/>
        <v>1212908</v>
      </c>
      <c r="AZ65" s="28">
        <v>345367</v>
      </c>
      <c r="BA65" s="28">
        <f t="shared" si="16"/>
        <v>742285</v>
      </c>
      <c r="BB65" s="28">
        <f>VLOOKUP(B65,[19]AKSoftSalesReport!$A:$B,2,0)</f>
        <v>496455</v>
      </c>
      <c r="BC65" s="28">
        <f t="shared" si="17"/>
        <v>1238740</v>
      </c>
    </row>
    <row r="66" spans="1:55" x14ac:dyDescent="0.3">
      <c r="A66" s="239">
        <v>63</v>
      </c>
      <c r="B66" s="89" t="s">
        <v>100</v>
      </c>
      <c r="C66" s="70">
        <f>VLOOKUP(B66,[3]AKSoftSalesReport!$B$2:$C$87,2,0)</f>
        <v>968317.5</v>
      </c>
      <c r="D66" s="7">
        <f t="shared" si="18"/>
        <v>7.3122682960791011E-2</v>
      </c>
      <c r="E66" s="85">
        <f t="shared" si="1"/>
        <v>1161919.4322469691</v>
      </c>
      <c r="F66" s="70">
        <f>VLOOKUP(B66,[4]AKSoftSalesReport!$B$2:$C$87,2,0)</f>
        <v>959005</v>
      </c>
      <c r="G66" s="7">
        <f t="shared" si="19"/>
        <v>7.2419447725372496E-2</v>
      </c>
      <c r="H66" s="85">
        <f t="shared" si="2"/>
        <v>1150745.0243561689</v>
      </c>
      <c r="I66" s="70">
        <f>VLOOKUP(B66,[5]AKSoftSalesReport!$B$2:$C$87,2,0)</f>
        <v>793708.36</v>
      </c>
      <c r="J66" s="7">
        <f t="shared" si="20"/>
        <v>5.9937040042764254E-2</v>
      </c>
      <c r="K66" s="85">
        <f t="shared" si="3"/>
        <v>952399.56627952401</v>
      </c>
      <c r="L66" s="6">
        <f>VLOOKUP(B66,[6]AKSoftSalesReport!$B$2:$C$87,2,0)</f>
        <v>1072328</v>
      </c>
      <c r="M66" s="7">
        <f t="shared" si="21"/>
        <v>8.0977055949086024E-2</v>
      </c>
      <c r="N66" s="85">
        <f t="shared" si="4"/>
        <v>1286725.4190309769</v>
      </c>
      <c r="O66" s="6">
        <f>VLOOKUP(B66,[7]AKSoftSalesReport!$B$2:$C$89,2,0)</f>
        <v>1196043</v>
      </c>
      <c r="P66" s="7">
        <f t="shared" si="22"/>
        <v>9.0319418059131809E-2</v>
      </c>
      <c r="Q66" s="85">
        <f t="shared" si="5"/>
        <v>1435175.5529596044</v>
      </c>
      <c r="R66" s="6">
        <f>VLOOKUP(B66,[8]AKSoftSalesReport!$B$2:$C$93,2,0)</f>
        <v>1035260.2000000011</v>
      </c>
      <c r="S66" s="7">
        <f t="shared" si="23"/>
        <v>7.8177873875588513E-2</v>
      </c>
      <c r="T66" s="85">
        <f t="shared" si="6"/>
        <v>1242246.4158831015</v>
      </c>
      <c r="U66" s="71">
        <f>VLOOKUP(B66,[9]AKSoftSalesReport!$B$2:$C$94,2,0)</f>
        <v>1318275.1300000004</v>
      </c>
      <c r="V66" s="7">
        <f t="shared" si="24"/>
        <v>9.9549800954837217E-2</v>
      </c>
      <c r="W66" s="85">
        <f t="shared" si="7"/>
        <v>1581846.3371723634</v>
      </c>
      <c r="X66" s="71">
        <f>VLOOKUP(B66,[10]AKSoftSalesReport!$B$2:$C$94,2,0)</f>
        <v>1316627.3500000003</v>
      </c>
      <c r="Y66" s="7">
        <f t="shared" si="25"/>
        <v>9.942536853000844E-2</v>
      </c>
      <c r="Z66" s="85">
        <f t="shared" si="8"/>
        <v>1579869.1059418342</v>
      </c>
      <c r="AA66" s="71">
        <f>VLOOKUP(B66,[11]AKSoftSalesReport!$B$2:$C$94,2,0)</f>
        <v>1243512.05</v>
      </c>
      <c r="AB66" s="7">
        <f t="shared" si="26"/>
        <v>9.3904052534497531E-2</v>
      </c>
      <c r="AC66" s="85">
        <f t="shared" si="9"/>
        <v>1492135.3947731657</v>
      </c>
      <c r="AD66" s="51">
        <f>VLOOKUP(B66,[12]AKSoftSalesReport!$B$2:$C$89,2,0)</f>
        <v>1198732.2000000007</v>
      </c>
      <c r="AE66" s="7">
        <f t="shared" si="27"/>
        <v>9.0522493516322466E-2</v>
      </c>
      <c r="AF66" s="85">
        <f t="shared" si="10"/>
        <v>1438402.421974364</v>
      </c>
      <c r="AG66" s="154">
        <f>VLOOKUP(B66,[13]AKSoftSalesReport!$B$2:$C$90,2,0)</f>
        <v>1100439.2000000002</v>
      </c>
      <c r="AH66" s="7">
        <f t="shared" si="28"/>
        <v>8.3099878644376984E-2</v>
      </c>
      <c r="AI66" s="85">
        <f t="shared" si="11"/>
        <v>1320457.0716591503</v>
      </c>
      <c r="AJ66" s="104">
        <f>VLOOKUP(B66,[14]AKSoftSalesReport!$A:$D,4,0)</f>
        <v>1040120.3257142863</v>
      </c>
      <c r="AK66" s="7">
        <f t="shared" si="29"/>
        <v>7.8544887207223288E-2</v>
      </c>
      <c r="AL66" s="85">
        <f t="shared" si="12"/>
        <v>1248078.257722778</v>
      </c>
      <c r="AM66" s="6">
        <f t="shared" si="13"/>
        <v>13242368.315714289</v>
      </c>
      <c r="AN66" s="155"/>
      <c r="AO66" s="73">
        <v>13242368.315714289</v>
      </c>
      <c r="AP66" s="87">
        <f t="shared" si="30"/>
        <v>15890841.978857147</v>
      </c>
      <c r="AQ66" s="237">
        <v>0.2</v>
      </c>
      <c r="AR66" s="1">
        <v>15890000</v>
      </c>
      <c r="AS66" s="240">
        <f t="shared" si="31"/>
        <v>15890000</v>
      </c>
      <c r="AT66" s="31">
        <f t="shared" si="33"/>
        <v>0</v>
      </c>
      <c r="AV66" s="253">
        <f>VLOOKUP(B66,[17]AKSoftSalesReport!$A:$B,2,0)</f>
        <v>328040</v>
      </c>
      <c r="AW66" s="28">
        <f t="shared" si="14"/>
        <v>630965</v>
      </c>
      <c r="AX66" s="28">
        <f>VLOOKUP(B66,[18]AKSoftSalesReport!$A:$B,2,0)</f>
        <v>252357.36</v>
      </c>
      <c r="AY66" s="79">
        <f t="shared" si="15"/>
        <v>883322.36</v>
      </c>
      <c r="AZ66" s="28">
        <v>252357.36</v>
      </c>
      <c r="BA66" s="28">
        <f t="shared" si="16"/>
        <v>541351</v>
      </c>
      <c r="BB66" s="28">
        <f>VLOOKUP(B66,[19]AKSoftSalesReport!$A:$B,2,0)</f>
        <v>360181</v>
      </c>
      <c r="BC66" s="28">
        <f t="shared" si="17"/>
        <v>901532</v>
      </c>
    </row>
    <row r="67" spans="1:55" x14ac:dyDescent="0.3">
      <c r="A67" s="61">
        <v>64</v>
      </c>
      <c r="B67" s="90" t="s">
        <v>85</v>
      </c>
      <c r="C67" s="70">
        <f>VLOOKUP(B67,[3]AKSoftSalesReport!$B$2:$C$87,2,0)</f>
        <v>4287347.1899999296</v>
      </c>
      <c r="D67" s="7">
        <f t="shared" si="18"/>
        <v>7.972577238595091E-2</v>
      </c>
      <c r="E67" s="85">
        <f t="shared" si="1"/>
        <v>4930241.764347204</v>
      </c>
      <c r="F67" s="70">
        <f>VLOOKUP(B67,[4]AKSoftSalesReport!$B$2:$C$87,2,0)</f>
        <v>3993436.5</v>
      </c>
      <c r="G67" s="7">
        <f t="shared" si="19"/>
        <v>7.4260328200001391E-2</v>
      </c>
      <c r="H67" s="85">
        <f t="shared" si="2"/>
        <v>4592258.6958880862</v>
      </c>
      <c r="I67" s="70">
        <f>VLOOKUP(B67,[5]AKSoftSalesReport!$B$2:$C$87,2,0)</f>
        <v>2842909</v>
      </c>
      <c r="J67" s="7">
        <f t="shared" si="20"/>
        <v>5.2865584661916556E-2</v>
      </c>
      <c r="K67" s="85">
        <f t="shared" si="3"/>
        <v>3269207.7554929201</v>
      </c>
      <c r="L67" s="6">
        <f>VLOOKUP(B67,[6]AKSoftSalesReport!$B$2:$C$87,2,0)</f>
        <v>4177736.5399999972</v>
      </c>
      <c r="M67" s="7">
        <f t="shared" si="21"/>
        <v>7.7687497120221646E-2</v>
      </c>
      <c r="N67" s="85">
        <f t="shared" si="4"/>
        <v>4804194.8219145061</v>
      </c>
      <c r="O67" s="6">
        <f>VLOOKUP(B67,[7]AKSoftSalesReport!$B$2:$C$89,2,0)</f>
        <v>4518449.9099999666</v>
      </c>
      <c r="P67" s="7">
        <f t="shared" si="22"/>
        <v>8.4023264992911309E-2</v>
      </c>
      <c r="Q67" s="85">
        <f t="shared" si="5"/>
        <v>5195998.7071616352</v>
      </c>
      <c r="R67" s="6">
        <f>VLOOKUP(B67,[8]AKSoftSalesReport!$B$2:$C$93,2,0)</f>
        <v>4780540.4199999403</v>
      </c>
      <c r="S67" s="7">
        <f t="shared" si="23"/>
        <v>8.8896993995664642E-2</v>
      </c>
      <c r="T67" s="85">
        <f t="shared" si="6"/>
        <v>5497390.108691901</v>
      </c>
      <c r="U67" s="71">
        <f>VLOOKUP(B67,[9]AKSoftSalesReport!$B$2:$C$94,2,0)</f>
        <v>4997254.0699999984</v>
      </c>
      <c r="V67" s="7">
        <f t="shared" si="24"/>
        <v>9.2926913283081516E-2</v>
      </c>
      <c r="W67" s="85">
        <f t="shared" si="7"/>
        <v>5746600.3174257614</v>
      </c>
      <c r="X67" s="71">
        <f>VLOOKUP(B67,[10]AKSoftSalesReport!$B$2:$C$94,2,0)</f>
        <v>4904569.8299999619</v>
      </c>
      <c r="Y67" s="7">
        <f t="shared" si="25"/>
        <v>9.1203394684157904E-2</v>
      </c>
      <c r="Z67" s="85">
        <f t="shared" si="8"/>
        <v>5640017.9272683244</v>
      </c>
      <c r="AA67" s="71">
        <f>VLOOKUP(B67,[11]AKSoftSalesReport!$B$2:$C$94,2,0)</f>
        <v>4910969.2399999965</v>
      </c>
      <c r="AB67" s="7">
        <f t="shared" si="26"/>
        <v>9.1322395521378913E-2</v>
      </c>
      <c r="AC67" s="85">
        <f t="shared" si="9"/>
        <v>5647376.9390420718</v>
      </c>
      <c r="AD67" s="51">
        <f>VLOOKUP(B67,[12]AKSoftSalesReport!$B$2:$C$89,2,0)</f>
        <v>4871148.5999999903</v>
      </c>
      <c r="AE67" s="7">
        <f t="shared" si="27"/>
        <v>9.0581907023431205E-2</v>
      </c>
      <c r="AF67" s="85">
        <f t="shared" si="10"/>
        <v>5601585.1303289859</v>
      </c>
      <c r="AG67" s="154">
        <f>VLOOKUP(B67,[13]AKSoftSalesReport!$B$2:$C$90,2,0)</f>
        <v>4655754</v>
      </c>
      <c r="AH67" s="7">
        <f t="shared" si="28"/>
        <v>8.6576516255728431E-2</v>
      </c>
      <c r="AI67" s="85">
        <f t="shared" si="11"/>
        <v>5353891.7652542461</v>
      </c>
      <c r="AJ67" s="104">
        <f>VLOOKUP(B67,[14]AKSoftSalesReport!$A:$D,4,0)</f>
        <v>4836060.981428572</v>
      </c>
      <c r="AK67" s="7">
        <f t="shared" si="29"/>
        <v>8.9929431875555438E-2</v>
      </c>
      <c r="AL67" s="85">
        <f t="shared" si="12"/>
        <v>5561236.0671843486</v>
      </c>
      <c r="AM67" s="6">
        <f t="shared" si="13"/>
        <v>53776176.281428359</v>
      </c>
      <c r="AN67" s="155"/>
      <c r="AO67" s="73">
        <v>53776176.281428359</v>
      </c>
      <c r="AP67" s="87">
        <f t="shared" si="30"/>
        <v>61842602.72364261</v>
      </c>
      <c r="AQ67" s="237">
        <v>0.15</v>
      </c>
      <c r="AR67" s="1">
        <v>61840000</v>
      </c>
      <c r="AS67" s="240">
        <f t="shared" si="31"/>
        <v>61839999.999999985</v>
      </c>
      <c r="AT67" s="31">
        <f t="shared" si="33"/>
        <v>0</v>
      </c>
      <c r="AV67" s="253">
        <f>VLOOKUP(B67,[17]AKSoftSalesReport!$A:$B,2,0)</f>
        <v>1413177.5</v>
      </c>
      <c r="AW67" s="28">
        <f t="shared" si="14"/>
        <v>2580259</v>
      </c>
      <c r="AX67" s="28">
        <f>VLOOKUP(B67,[18]AKSoftSalesReport!$A:$B,2,0)</f>
        <v>787191</v>
      </c>
      <c r="AY67" s="79">
        <f t="shared" si="15"/>
        <v>3367450</v>
      </c>
      <c r="AZ67" s="28">
        <v>787191</v>
      </c>
      <c r="BA67" s="28">
        <f t="shared" si="16"/>
        <v>2055718</v>
      </c>
      <c r="BB67" s="28">
        <f>VLOOKUP(B67,[19]AKSoftSalesReport!$A:$B,2,0)</f>
        <v>1423369</v>
      </c>
      <c r="BC67" s="28">
        <f t="shared" si="17"/>
        <v>3479087</v>
      </c>
    </row>
    <row r="68" spans="1:55" x14ac:dyDescent="0.3">
      <c r="A68" s="239">
        <v>65</v>
      </c>
      <c r="B68" s="89" t="s">
        <v>87</v>
      </c>
      <c r="C68" s="70">
        <f>VLOOKUP(B68,[3]AKSoftSalesReport!$B$2:$C$87,2,0)</f>
        <v>1066546.7300000007</v>
      </c>
      <c r="D68" s="7">
        <f t="shared" si="18"/>
        <v>8.0216631820763801E-2</v>
      </c>
      <c r="E68" s="85">
        <f t="shared" si="1"/>
        <v>1226512.3005394784</v>
      </c>
      <c r="F68" s="70">
        <f>VLOOKUP(B68,[4]AKSoftSalesReport!$B$2:$C$87,2,0)</f>
        <v>1046844</v>
      </c>
      <c r="G68" s="7">
        <f t="shared" si="19"/>
        <v>7.8734758974672955E-2</v>
      </c>
      <c r="H68" s="85">
        <f t="shared" si="2"/>
        <v>1203854.4647227495</v>
      </c>
      <c r="I68" s="70">
        <f>VLOOKUP(B68,[5]AKSoftSalesReport!$B$2:$C$87,2,0)</f>
        <v>854131</v>
      </c>
      <c r="J68" s="7">
        <f t="shared" si="20"/>
        <v>6.4240515700330125E-2</v>
      </c>
      <c r="K68" s="85">
        <f t="shared" si="3"/>
        <v>982237.48505804758</v>
      </c>
      <c r="L68" s="6">
        <f>VLOOKUP(B68,[6]AKSoftSalesReport!$B$2:$C$87,2,0)</f>
        <v>1093540.5400000003</v>
      </c>
      <c r="M68" s="7">
        <f t="shared" si="21"/>
        <v>8.224687808874459E-2</v>
      </c>
      <c r="N68" s="85">
        <f t="shared" si="4"/>
        <v>1257554.7659769049</v>
      </c>
      <c r="O68" s="6">
        <f>VLOOKUP(B68,[7]AKSoftSalesReport!$B$2:$C$89,2,0)</f>
        <v>999003.80000000051</v>
      </c>
      <c r="P68" s="7">
        <f t="shared" si="22"/>
        <v>7.5136623420282711E-2</v>
      </c>
      <c r="Q68" s="85">
        <f t="shared" si="5"/>
        <v>1148838.9720961226</v>
      </c>
      <c r="R68" s="6">
        <f>VLOOKUP(B68,[8]AKSoftSalesReport!$B$2:$C$93,2,0)</f>
        <v>1198943.5100000007</v>
      </c>
      <c r="S68" s="7">
        <f t="shared" si="23"/>
        <v>9.0174398749095816E-2</v>
      </c>
      <c r="T68" s="85">
        <f t="shared" si="6"/>
        <v>1378766.556873675</v>
      </c>
      <c r="U68" s="71">
        <f>VLOOKUP(B68,[9]AKSoftSalesReport!$B$2:$C$94,2,0)</f>
        <v>1292651.1300000011</v>
      </c>
      <c r="V68" s="7">
        <f t="shared" si="24"/>
        <v>9.7222294017913588E-2</v>
      </c>
      <c r="W68" s="85">
        <f t="shared" si="7"/>
        <v>1486528.8755338988</v>
      </c>
      <c r="X68" s="71">
        <f>VLOOKUP(B68,[10]AKSoftSalesReport!$B$2:$C$94,2,0)</f>
        <v>1313665.1199999999</v>
      </c>
      <c r="Y68" s="7">
        <f t="shared" si="25"/>
        <v>9.8802788759963109E-2</v>
      </c>
      <c r="Z68" s="85">
        <f t="shared" si="8"/>
        <v>1510694.6401398359</v>
      </c>
      <c r="AA68" s="71">
        <f>VLOOKUP(B68,[11]AKSoftSalesReport!$B$2:$C$94,2,0)</f>
        <v>1174669.76</v>
      </c>
      <c r="AB68" s="7">
        <f t="shared" si="26"/>
        <v>8.8348732407538211E-2</v>
      </c>
      <c r="AC68" s="85">
        <f t="shared" si="9"/>
        <v>1350852.1185112593</v>
      </c>
      <c r="AD68" s="51">
        <f>VLOOKUP(B68,[12]AKSoftSalesReport!$B$2:$C$89,2,0)</f>
        <v>1260892.0000000007</v>
      </c>
      <c r="AE68" s="7">
        <f t="shared" si="27"/>
        <v>9.4833640650463097E-2</v>
      </c>
      <c r="AF68" s="85">
        <f t="shared" si="10"/>
        <v>1450006.3655455809</v>
      </c>
      <c r="AG68" s="154">
        <f>VLOOKUP(B68,[13]AKSoftSalesReport!$B$2:$C$90,2,0)</f>
        <v>894414</v>
      </c>
      <c r="AH68" s="7">
        <f t="shared" si="28"/>
        <v>6.7270262535366443E-2</v>
      </c>
      <c r="AI68" s="85">
        <f t="shared" si="11"/>
        <v>1028562.314165753</v>
      </c>
      <c r="AJ68" s="104">
        <f>VLOOKUP(B68,[14]AKSoftSalesReport!$A:$D,4,0)</f>
        <v>1100528.7857142857</v>
      </c>
      <c r="AK68" s="7">
        <f t="shared" si="29"/>
        <v>8.2772474874865581E-2</v>
      </c>
      <c r="AL68" s="85">
        <f t="shared" si="12"/>
        <v>1265591.1408366947</v>
      </c>
      <c r="AM68" s="6">
        <f t="shared" si="13"/>
        <v>13295830.375714289</v>
      </c>
      <c r="AN68" s="155"/>
      <c r="AO68" s="73">
        <v>13295830.375714289</v>
      </c>
      <c r="AP68" s="87">
        <f t="shared" si="30"/>
        <v>15290204.932071432</v>
      </c>
      <c r="AQ68" s="237">
        <v>0.15</v>
      </c>
      <c r="AR68" s="1">
        <v>15290000</v>
      </c>
      <c r="AS68" s="240">
        <f t="shared" si="31"/>
        <v>15290000</v>
      </c>
      <c r="AT68" s="31">
        <f t="shared" si="33"/>
        <v>0</v>
      </c>
      <c r="AV68" s="253">
        <f>VLOOKUP(B68,[17]AKSoftSalesReport!$A:$B,2,0)</f>
        <v>416076</v>
      </c>
      <c r="AW68" s="28">
        <f t="shared" si="14"/>
        <v>630768</v>
      </c>
      <c r="AX68" s="28">
        <f>VLOOKUP(B68,[18]AKSoftSalesReport!$A:$B,2,0)</f>
        <v>263034</v>
      </c>
      <c r="AY68" s="79">
        <f t="shared" si="15"/>
        <v>893802</v>
      </c>
      <c r="AZ68" s="28">
        <v>263034</v>
      </c>
      <c r="BA68" s="28">
        <f t="shared" si="16"/>
        <v>591097</v>
      </c>
      <c r="BB68" s="28">
        <f>VLOOKUP(B68,[19]AKSoftSalesReport!$A:$B,2,0)</f>
        <v>411293</v>
      </c>
      <c r="BC68" s="28">
        <f t="shared" si="17"/>
        <v>1002390</v>
      </c>
    </row>
    <row r="69" spans="1:55" x14ac:dyDescent="0.3">
      <c r="A69" s="61">
        <v>66</v>
      </c>
      <c r="B69" s="106" t="s">
        <v>223</v>
      </c>
      <c r="C69" s="70">
        <f>VLOOKUP(B69,[3]AKSoftSalesReport!$B$2:$C$87,2,0)</f>
        <v>355438</v>
      </c>
      <c r="D69" s="7">
        <f t="shared" si="18"/>
        <v>2.4899654198232101E-2</v>
      </c>
      <c r="E69" s="85">
        <f t="shared" ref="E69:E93" si="34">D69*AR69</f>
        <v>479816.33639993257</v>
      </c>
      <c r="F69" s="70">
        <f>VLOOKUP(B69,[4]AKSoftSalesReport!$B$2:$C$87,2,0)</f>
        <v>720756</v>
      </c>
      <c r="G69" s="7">
        <f t="shared" si="19"/>
        <v>5.0491436372309594E-2</v>
      </c>
      <c r="H69" s="85">
        <f t="shared" ref="H69:H93" si="35">G69*AR69</f>
        <v>972969.97889440588</v>
      </c>
      <c r="I69" s="70">
        <f>VLOOKUP(B69,[5]AKSoftSalesReport!$B$2:$C$87,2,0)</f>
        <v>657481.5</v>
      </c>
      <c r="J69" s="7">
        <f t="shared" si="20"/>
        <v>4.6058840055747952E-2</v>
      </c>
      <c r="K69" s="85">
        <f t="shared" ref="K69:K93" si="36">J69*AR69</f>
        <v>887553.84787426307</v>
      </c>
      <c r="L69" s="6">
        <f>VLOOKUP(B69,[6]AKSoftSalesReport!$B$2:$C$87,2,0)</f>
        <v>1098075.1000000001</v>
      </c>
      <c r="M69" s="7">
        <f t="shared" si="21"/>
        <v>7.6923936871378801E-2</v>
      </c>
      <c r="N69" s="85">
        <f t="shared" ref="N69:N93" si="37">M69*AR69</f>
        <v>1482324.2635114696</v>
      </c>
      <c r="O69" s="6">
        <f>VLOOKUP(B69,[7]AKSoftSalesReport!$B$2:$C$89,2,0)</f>
        <v>1119419.96</v>
      </c>
      <c r="P69" s="7">
        <f t="shared" si="22"/>
        <v>7.841921771616657E-2</v>
      </c>
      <c r="Q69" s="85">
        <f t="shared" ref="Q69:Q93" si="38">P69*AR69</f>
        <v>1511138.3253905298</v>
      </c>
      <c r="R69" s="6">
        <f>VLOOKUP(B69,[8]AKSoftSalesReport!$B$2:$C$93,2,0)</f>
        <v>1114752.8400000015</v>
      </c>
      <c r="S69" s="7">
        <f t="shared" si="23"/>
        <v>7.8092269910637571E-2</v>
      </c>
      <c r="T69" s="85">
        <f t="shared" ref="T69:T93" si="39">S69*AR69</f>
        <v>1504838.041177986</v>
      </c>
      <c r="U69" s="71">
        <f>VLOOKUP(B69,[9]AKSoftSalesReport!$B$2:$C$94,2,0)</f>
        <v>1449700.84</v>
      </c>
      <c r="V69" s="7">
        <f t="shared" si="24"/>
        <v>0.10155652914681775</v>
      </c>
      <c r="W69" s="85">
        <f t="shared" ref="W69:W93" si="40">V69*AR69</f>
        <v>1956994.3166591779</v>
      </c>
      <c r="X69" s="71">
        <f>VLOOKUP(B69,[10]AKSoftSalesReport!$B$2:$C$94,2,0)</f>
        <v>1529334.23</v>
      </c>
      <c r="Y69" s="7">
        <f t="shared" si="25"/>
        <v>0.1071351219636605</v>
      </c>
      <c r="Z69" s="85">
        <f t="shared" ref="Z69:Z93" si="41">Y69*AR69</f>
        <v>2064493.8002397378</v>
      </c>
      <c r="AA69" s="71">
        <f>VLOOKUP(B69,[11]AKSoftSalesReport!$B$2:$C$94,2,0)</f>
        <v>1523162.6500000004</v>
      </c>
      <c r="AB69" s="7">
        <f t="shared" si="26"/>
        <v>0.10670278156151802</v>
      </c>
      <c r="AC69" s="85">
        <f t="shared" ref="AC69:AC93" si="42">AB69*AR69</f>
        <v>2056162.6006904524</v>
      </c>
      <c r="AD69" s="51">
        <f>VLOOKUP(B69,[12]AKSoftSalesReport!$B$2:$C$89,2,0)</f>
        <v>1533781.24</v>
      </c>
      <c r="AE69" s="7">
        <f t="shared" si="27"/>
        <v>0.10744665030676416</v>
      </c>
      <c r="AF69" s="85">
        <f t="shared" ref="AF69:AF93" si="43">AE69*AR69</f>
        <v>2070496.9514113453</v>
      </c>
      <c r="AG69" s="154">
        <f>VLOOKUP(B69,[13]AKSoftSalesReport!$B$2:$C$90,2,0)</f>
        <v>1359972</v>
      </c>
      <c r="AH69" s="7">
        <f t="shared" si="28"/>
        <v>9.5270715340729215E-2</v>
      </c>
      <c r="AI69" s="85">
        <f t="shared" ref="AI69:AI93" si="44">AH69*AR69</f>
        <v>1835866.6846158521</v>
      </c>
      <c r="AJ69" s="104">
        <f>VLOOKUP(B69,[14]AKSoftSalesReport!$A:$D,4,0)</f>
        <v>1412942.3571428573</v>
      </c>
      <c r="AK69" s="7">
        <f t="shared" si="29"/>
        <v>9.8981471015738634E-2</v>
      </c>
      <c r="AL69" s="85">
        <f t="shared" ref="AL69:AL93" si="45">AK69*AR69</f>
        <v>1907372.9464732835</v>
      </c>
      <c r="AM69" s="6">
        <f t="shared" ref="AM69:AM93" si="46">AJ69+AG69+AD69+AA69+X69+U69+R69+O69+L69+I69+F69+C69</f>
        <v>13874816.717142859</v>
      </c>
      <c r="AN69" s="155"/>
      <c r="AO69" s="101">
        <f>AM69+400000</f>
        <v>14274816.717142859</v>
      </c>
      <c r="AP69" s="87">
        <f t="shared" si="30"/>
        <v>19271002.568142861</v>
      </c>
      <c r="AQ69" s="237">
        <v>0.35</v>
      </c>
      <c r="AR69" s="1">
        <v>19270000</v>
      </c>
      <c r="AS69" s="240">
        <f t="shared" si="31"/>
        <v>18730028.093338434</v>
      </c>
      <c r="AT69" s="31">
        <f t="shared" si="33"/>
        <v>-539971.90666156635</v>
      </c>
      <c r="AV69" s="253">
        <f>VLOOKUP(B69,[17]AKSoftSalesReport!$A:$B,2,0)</f>
        <v>265512</v>
      </c>
      <c r="AW69" s="28">
        <f t="shared" ref="AW69:AW93" si="47">F69-AV69</f>
        <v>455244</v>
      </c>
      <c r="AX69" s="28">
        <f>VLOOKUP(B69,[18]AKSoftSalesReport!$A:$B,2,0)</f>
        <v>170081.5</v>
      </c>
      <c r="AY69" s="79">
        <f t="shared" ref="AY69:AY93" si="48">AW69+AX69</f>
        <v>625325.5</v>
      </c>
      <c r="AZ69" s="28">
        <v>170081.5</v>
      </c>
      <c r="BA69" s="28">
        <f t="shared" ref="BA69:BA93" si="49">I69-AZ69</f>
        <v>487400</v>
      </c>
      <c r="BB69" s="28">
        <f>VLOOKUP(B69,[19]AKSoftSalesReport!$A:$B,2,0)</f>
        <v>361704</v>
      </c>
      <c r="BC69" s="28">
        <f t="shared" ref="BC69:BC93" si="50">BA69+BB69</f>
        <v>849104</v>
      </c>
    </row>
    <row r="70" spans="1:55" x14ac:dyDescent="0.3">
      <c r="A70" s="239">
        <v>67</v>
      </c>
      <c r="B70" s="89" t="s">
        <v>18</v>
      </c>
      <c r="C70" s="70">
        <f>VLOOKUP(B70,[3]AKSoftSalesReport!$B$2:$C$87,2,0)</f>
        <v>3094203.1499999668</v>
      </c>
      <c r="D70" s="7">
        <f t="shared" si="18"/>
        <v>7.3073012572999932E-2</v>
      </c>
      <c r="E70" s="85">
        <f t="shared" si="34"/>
        <v>4022303.9770807815</v>
      </c>
      <c r="F70" s="70">
        <f>VLOOKUP(B70,[4]AKSoftSalesReport!$B$2:$C$87,2,0)</f>
        <v>3035992.2999999975</v>
      </c>
      <c r="G70" s="7">
        <f t="shared" si="19"/>
        <v>7.1698299288924572E-2</v>
      </c>
      <c r="H70" s="85">
        <f t="shared" si="35"/>
        <v>3946632.8843588531</v>
      </c>
      <c r="I70" s="70">
        <f>VLOOKUP(B70,[5]AKSoftSalesReport!$B$2:$C$87,2,0)</f>
        <v>1535966</v>
      </c>
      <c r="J70" s="7">
        <f t="shared" si="20"/>
        <v>3.6273527428120421E-2</v>
      </c>
      <c r="K70" s="85">
        <f t="shared" si="36"/>
        <v>1996676.3172808886</v>
      </c>
      <c r="L70" s="6">
        <f>VLOOKUP(B70,[6]AKSoftSalesReport!$B$2:$C$87,2,0)</f>
        <v>3202505</v>
      </c>
      <c r="M70" s="7">
        <f t="shared" si="21"/>
        <v>7.563067994746811E-2</v>
      </c>
      <c r="N70" s="85">
        <f t="shared" si="37"/>
        <v>4163090.7777083823</v>
      </c>
      <c r="O70" s="6">
        <f>VLOOKUP(B70,[7]AKSoftSalesReport!$B$2:$C$89,2,0)</f>
        <v>3387282.8199999915</v>
      </c>
      <c r="P70" s="7">
        <f t="shared" si="22"/>
        <v>7.9994411515665567E-2</v>
      </c>
      <c r="Q70" s="85">
        <f t="shared" si="38"/>
        <v>4403292.3818798112</v>
      </c>
      <c r="R70" s="6">
        <f>VLOOKUP(B70,[8]AKSoftSalesReport!$B$2:$C$93,2,0)</f>
        <v>3972440.2199999089</v>
      </c>
      <c r="S70" s="7">
        <f t="shared" si="23"/>
        <v>9.3813547485253848E-2</v>
      </c>
      <c r="T70" s="85">
        <f t="shared" si="39"/>
        <v>5163966.721325798</v>
      </c>
      <c r="U70" s="71">
        <f>VLOOKUP(B70,[9]AKSoftSalesReport!$B$2:$C$94,2,0)</f>
        <v>4649653.7199999681</v>
      </c>
      <c r="V70" s="7">
        <f t="shared" si="24"/>
        <v>0.10980668956453528</v>
      </c>
      <c r="W70" s="85">
        <f t="shared" si="40"/>
        <v>6044309.2270798441</v>
      </c>
      <c r="X70" s="71">
        <f>VLOOKUP(B70,[10]AKSoftSalesReport!$B$2:$C$94,2,0)</f>
        <v>4558012.9099999443</v>
      </c>
      <c r="Y70" s="7">
        <f t="shared" si="25"/>
        <v>0.1076424909852236</v>
      </c>
      <c r="Z70" s="85">
        <f t="shared" si="41"/>
        <v>5925180.9162816331</v>
      </c>
      <c r="AA70" s="71">
        <f>VLOOKUP(B70,[11]AKSoftSalesReport!$B$2:$C$94,2,0)</f>
        <v>4038360.7999999868</v>
      </c>
      <c r="AB70" s="7">
        <f t="shared" si="26"/>
        <v>9.5370334527877479E-2</v>
      </c>
      <c r="AC70" s="85">
        <f t="shared" si="42"/>
        <v>5249660.0640870156</v>
      </c>
      <c r="AD70" s="51">
        <f>VLOOKUP(B70,[12]AKSoftSalesReport!$B$2:$C$89,2,0)</f>
        <v>3961979.2</v>
      </c>
      <c r="AE70" s="7">
        <f t="shared" si="27"/>
        <v>9.3566498985552166E-2</v>
      </c>
      <c r="AF70" s="85">
        <f t="shared" si="43"/>
        <v>5150367.9366597189</v>
      </c>
      <c r="AG70" s="154">
        <f>VLOOKUP(B70,[13]AKSoftSalesReport!$B$2:$C$90,2,0)</f>
        <v>3412038</v>
      </c>
      <c r="AH70" s="7">
        <f t="shared" si="28"/>
        <v>8.0579032334562845E-2</v>
      </c>
      <c r="AI70" s="85">
        <f t="shared" si="44"/>
        <v>4435472.8348560119</v>
      </c>
      <c r="AJ70" s="104">
        <f>VLOOKUP(B70,[14]AKSoftSalesReport!$A:$D,4,0)</f>
        <v>3495559.1142857145</v>
      </c>
      <c r="AK70" s="7">
        <f t="shared" si="29"/>
        <v>8.2551475363816115E-2</v>
      </c>
      <c r="AL70" s="85">
        <f t="shared" si="45"/>
        <v>4544045.9614012577</v>
      </c>
      <c r="AM70" s="6">
        <f t="shared" si="46"/>
        <v>42343993.234285481</v>
      </c>
      <c r="AN70" s="155"/>
      <c r="AO70" s="104">
        <v>42343993.234285481</v>
      </c>
      <c r="AP70" s="87">
        <f t="shared" si="30"/>
        <v>55047191.204571128</v>
      </c>
      <c r="AQ70" s="237">
        <v>0.3</v>
      </c>
      <c r="AR70" s="25">
        <v>55045000</v>
      </c>
      <c r="AS70" s="240">
        <f t="shared" si="31"/>
        <v>55045000</v>
      </c>
      <c r="AT70" s="31">
        <f t="shared" si="33"/>
        <v>0</v>
      </c>
      <c r="AV70" s="253">
        <f>VLOOKUP(B70,[17]AKSoftSalesReport!$A:$B,2,0)</f>
        <v>1011135.5</v>
      </c>
      <c r="AW70" s="28">
        <f t="shared" si="47"/>
        <v>2024856.7999999975</v>
      </c>
      <c r="AX70" s="28">
        <f>VLOOKUP(B70,[18]AKSoftSalesReport!$A:$B,2,0)</f>
        <v>411989</v>
      </c>
      <c r="AY70" s="79">
        <f t="shared" si="48"/>
        <v>2436845.7999999975</v>
      </c>
      <c r="AZ70" s="28">
        <v>411989</v>
      </c>
      <c r="BA70" s="28">
        <f t="shared" si="49"/>
        <v>1123977</v>
      </c>
      <c r="BB70" s="28">
        <f>VLOOKUP(B70,[19]AKSoftSalesReport!$A:$B,2,0)</f>
        <v>1094214</v>
      </c>
      <c r="BC70" s="28">
        <f t="shared" si="50"/>
        <v>2218191</v>
      </c>
    </row>
    <row r="71" spans="1:55" x14ac:dyDescent="0.3">
      <c r="A71" s="61">
        <v>68</v>
      </c>
      <c r="B71" s="90" t="s">
        <v>11</v>
      </c>
      <c r="C71" s="70">
        <f>VLOOKUP(B71,[3]AKSoftSalesReport!$B$2:$C$87,2,0)</f>
        <v>735950.13000000187</v>
      </c>
      <c r="D71" s="7">
        <f t="shared" si="18"/>
        <v>8.1198302658872915E-2</v>
      </c>
      <c r="E71" s="85">
        <f t="shared" si="34"/>
        <v>956516.00532152294</v>
      </c>
      <c r="F71" s="70">
        <f>VLOOKUP(B71,[4]AKSoftSalesReport!$B$2:$C$87,2,0)</f>
        <v>701722.87</v>
      </c>
      <c r="G71" s="7">
        <f t="shared" si="19"/>
        <v>7.7421966052119304E-2</v>
      </c>
      <c r="H71" s="85">
        <f t="shared" si="35"/>
        <v>912030.76009396545</v>
      </c>
      <c r="I71" s="70">
        <f>VLOOKUP(B71,[5]AKSoftSalesReport!$B$2:$C$87,2,0)</f>
        <v>375019</v>
      </c>
      <c r="J71" s="7">
        <f t="shared" si="20"/>
        <v>4.1376317529596446E-2</v>
      </c>
      <c r="K71" s="85">
        <f t="shared" si="36"/>
        <v>487413.02049864613</v>
      </c>
      <c r="L71" s="6">
        <f>VLOOKUP(B71,[6]AKSoftSalesReport!$B$2:$C$87,2,0)</f>
        <v>656441.06000000006</v>
      </c>
      <c r="M71" s="7">
        <f t="shared" si="21"/>
        <v>7.242596705240234E-2</v>
      </c>
      <c r="N71" s="85">
        <f t="shared" si="37"/>
        <v>853177.89187729952</v>
      </c>
      <c r="O71" s="6">
        <f>VLOOKUP(B71,[7]AKSoftSalesReport!$B$2:$C$89,2,0)</f>
        <v>752555.64000000048</v>
      </c>
      <c r="P71" s="7">
        <f t="shared" si="22"/>
        <v>8.3030409444131342E-2</v>
      </c>
      <c r="Q71" s="85">
        <f t="shared" si="38"/>
        <v>978098.22325186722</v>
      </c>
      <c r="R71" s="6">
        <f>VLOOKUP(B71,[8]AKSoftSalesReport!$B$2:$C$93,2,0)</f>
        <v>773473.35000000359</v>
      </c>
      <c r="S71" s="7">
        <f t="shared" si="23"/>
        <v>8.5338286674224065E-2</v>
      </c>
      <c r="T71" s="85">
        <f t="shared" si="39"/>
        <v>1005285.0170223595</v>
      </c>
      <c r="U71" s="71">
        <f>VLOOKUP(B71,[9]AKSoftSalesReport!$B$2:$C$94,2,0)</f>
        <v>889479.98000000149</v>
      </c>
      <c r="V71" s="7">
        <f t="shared" si="24"/>
        <v>9.8137443939371488E-2</v>
      </c>
      <c r="W71" s="85">
        <f t="shared" si="40"/>
        <v>1156059.0896057962</v>
      </c>
      <c r="X71" s="71">
        <f>VLOOKUP(B71,[10]AKSoftSalesReport!$B$2:$C$94,2,0)</f>
        <v>915327.69000000053</v>
      </c>
      <c r="Y71" s="7">
        <f t="shared" si="25"/>
        <v>0.10098925426464271</v>
      </c>
      <c r="Z71" s="85">
        <f t="shared" si="41"/>
        <v>1189653.4152374913</v>
      </c>
      <c r="AA71" s="71">
        <f>VLOOKUP(B71,[11]AKSoftSalesReport!$B$2:$C$94,2,0)</f>
        <v>862266.43000000017</v>
      </c>
      <c r="AB71" s="7">
        <f t="shared" si="26"/>
        <v>9.5134938770546434E-2</v>
      </c>
      <c r="AC71" s="85">
        <f t="shared" si="42"/>
        <v>1120689.5787170371</v>
      </c>
      <c r="AD71" s="51">
        <f>VLOOKUP(B71,[12]AKSoftSalesReport!$B$2:$C$89,2,0)</f>
        <v>843286.40000000037</v>
      </c>
      <c r="AE71" s="7">
        <f t="shared" si="27"/>
        <v>9.304084820979816E-2</v>
      </c>
      <c r="AF71" s="85">
        <f t="shared" si="43"/>
        <v>1096021.1919114224</v>
      </c>
      <c r="AG71" s="154">
        <f>VLOOKUP(B71,[13]AKSoftSalesReport!$B$2:$C$90,2,0)</f>
        <v>767127</v>
      </c>
      <c r="AH71" s="7">
        <f t="shared" si="28"/>
        <v>8.4638085903718824E-2</v>
      </c>
      <c r="AI71" s="85">
        <f t="shared" si="44"/>
        <v>997036.65194580774</v>
      </c>
      <c r="AJ71" s="104">
        <f>VLOOKUP(B71,[14]AKSoftSalesReport!$A:$D,4,0)</f>
        <v>790965.15500000003</v>
      </c>
      <c r="AK71" s="7">
        <f t="shared" si="29"/>
        <v>8.7268179500575888E-2</v>
      </c>
      <c r="AL71" s="85">
        <f t="shared" si="45"/>
        <v>1028019.154516784</v>
      </c>
      <c r="AM71" s="6">
        <f t="shared" si="46"/>
        <v>9063614.7050000094</v>
      </c>
      <c r="AN71" s="155"/>
      <c r="AO71" s="73">
        <v>9063614.7050000094</v>
      </c>
      <c r="AP71" s="87">
        <f t="shared" si="30"/>
        <v>11782699.116500013</v>
      </c>
      <c r="AQ71" s="237">
        <v>0.3</v>
      </c>
      <c r="AR71" s="3">
        <v>11780000</v>
      </c>
      <c r="AS71" s="240">
        <f t="shared" si="31"/>
        <v>11779999.999999998</v>
      </c>
      <c r="AT71" s="31">
        <f t="shared" si="33"/>
        <v>0</v>
      </c>
      <c r="AV71" s="253">
        <f>VLOOKUP(B71,[17]AKSoftSalesReport!$A:$B,2,0)</f>
        <v>240735</v>
      </c>
      <c r="AW71" s="28">
        <f t="shared" si="47"/>
        <v>460987.87</v>
      </c>
      <c r="AX71" s="28">
        <f>VLOOKUP(B71,[18]AKSoftSalesReport!$A:$B,2,0)</f>
        <v>113018</v>
      </c>
      <c r="AY71" s="79">
        <f t="shared" si="48"/>
        <v>574005.87</v>
      </c>
      <c r="AZ71" s="28">
        <v>113018</v>
      </c>
      <c r="BA71" s="28">
        <f t="shared" si="49"/>
        <v>262001</v>
      </c>
      <c r="BB71" s="28">
        <f>VLOOKUP(B71,[19]AKSoftSalesReport!$A:$B,2,0)</f>
        <v>200538</v>
      </c>
      <c r="BC71" s="28">
        <f t="shared" si="50"/>
        <v>462539</v>
      </c>
    </row>
    <row r="72" spans="1:55" x14ac:dyDescent="0.3">
      <c r="A72" s="239">
        <v>69</v>
      </c>
      <c r="B72" s="89" t="s">
        <v>12</v>
      </c>
      <c r="C72" s="70">
        <f>VLOOKUP(B72,[3]AKSoftSalesReport!$B$2:$C$87,2,0)</f>
        <v>503711.94000000099</v>
      </c>
      <c r="D72" s="7">
        <f t="shared" si="18"/>
        <v>8.0637330459900777E-2</v>
      </c>
      <c r="E72" s="85">
        <f t="shared" si="34"/>
        <v>614456.45810444397</v>
      </c>
      <c r="F72" s="70">
        <f>VLOOKUP(B72,[4]AKSoftSalesReport!$B$2:$C$87,2,0)</f>
        <v>432507.60000000009</v>
      </c>
      <c r="G72" s="7">
        <f t="shared" si="19"/>
        <v>6.9238498232975218E-2</v>
      </c>
      <c r="H72" s="85">
        <f t="shared" si="35"/>
        <v>527597.35653527116</v>
      </c>
      <c r="I72" s="70">
        <f>VLOOKUP(B72,[5]AKSoftSalesReport!$B$2:$C$87,2,0)</f>
        <v>342525</v>
      </c>
      <c r="J72" s="7">
        <f t="shared" si="20"/>
        <v>5.483352571665754E-2</v>
      </c>
      <c r="K72" s="85">
        <f t="shared" si="36"/>
        <v>417831.46596093045</v>
      </c>
      <c r="L72" s="6">
        <f>VLOOKUP(B72,[6]AKSoftSalesReport!$B$2:$C$87,2,0)</f>
        <v>465494.18000000011</v>
      </c>
      <c r="M72" s="7">
        <f t="shared" si="21"/>
        <v>7.45191944821091E-2</v>
      </c>
      <c r="N72" s="85">
        <f t="shared" si="37"/>
        <v>567836.26195367135</v>
      </c>
      <c r="O72" s="6">
        <f>VLOOKUP(B72,[7]AKSoftSalesReport!$B$2:$C$89,2,0)</f>
        <v>552572.41000000155</v>
      </c>
      <c r="P72" s="7">
        <f t="shared" si="22"/>
        <v>8.8459217441210186E-2</v>
      </c>
      <c r="Q72" s="85">
        <f t="shared" si="38"/>
        <v>674059.23690202157</v>
      </c>
      <c r="R72" s="6">
        <f>VLOOKUP(B72,[8]AKSoftSalesReport!$B$2:$C$93,2,0)</f>
        <v>559783.15000000119</v>
      </c>
      <c r="S72" s="7">
        <f t="shared" si="23"/>
        <v>8.9613557408296129E-2</v>
      </c>
      <c r="T72" s="85">
        <f t="shared" si="39"/>
        <v>682855.3074512165</v>
      </c>
      <c r="U72" s="71">
        <f>VLOOKUP(B72,[9]AKSoftSalesReport!$B$2:$C$94,2,0)</f>
        <v>620720.4700000009</v>
      </c>
      <c r="V72" s="7">
        <f t="shared" si="24"/>
        <v>9.9368781416249344E-2</v>
      </c>
      <c r="W72" s="85">
        <f t="shared" si="40"/>
        <v>757190.11439182004</v>
      </c>
      <c r="X72" s="71">
        <f>VLOOKUP(B72,[10]AKSoftSalesReport!$B$2:$C$94,2,0)</f>
        <v>617506.64000000036</v>
      </c>
      <c r="Y72" s="7">
        <f t="shared" si="25"/>
        <v>9.8854291583524739E-2</v>
      </c>
      <c r="Z72" s="85">
        <f t="shared" si="41"/>
        <v>753269.70186645852</v>
      </c>
      <c r="AA72" s="71">
        <f>VLOOKUP(B72,[11]AKSoftSalesReport!$B$2:$C$94,2,0)</f>
        <v>579494.16</v>
      </c>
      <c r="AB72" s="7">
        <f t="shared" si="26"/>
        <v>9.2769018100906098E-2</v>
      </c>
      <c r="AC72" s="85">
        <f t="shared" si="42"/>
        <v>706899.91792890441</v>
      </c>
      <c r="AD72" s="51">
        <f>VLOOKUP(B72,[12]AKSoftSalesReport!$B$2:$C$89,2,0)</f>
        <v>561558.14000000013</v>
      </c>
      <c r="AE72" s="7">
        <f t="shared" si="27"/>
        <v>8.9897708812753468E-2</v>
      </c>
      <c r="AF72" s="85">
        <f t="shared" si="43"/>
        <v>685020.54115318146</v>
      </c>
      <c r="AG72" s="154">
        <f>VLOOKUP(B72,[13]AKSoftSalesReport!$B$2:$C$90,2,0)</f>
        <v>506743</v>
      </c>
      <c r="AH72" s="7">
        <f t="shared" si="28"/>
        <v>8.1122561337818241E-2</v>
      </c>
      <c r="AI72" s="85">
        <f t="shared" si="44"/>
        <v>618153.91739417496</v>
      </c>
      <c r="AJ72" s="104">
        <f>VLOOKUP(B72,[14]AKSoftSalesReport!$A:$D,4,0)</f>
        <v>504017.92857142858</v>
      </c>
      <c r="AK72" s="7">
        <f t="shared" si="29"/>
        <v>8.0686315007599124E-2</v>
      </c>
      <c r="AL72" s="85">
        <f t="shared" si="45"/>
        <v>614829.72035790537</v>
      </c>
      <c r="AM72" s="6">
        <f t="shared" si="46"/>
        <v>6246634.6185714342</v>
      </c>
      <c r="AN72" s="155"/>
      <c r="AO72" s="73">
        <v>6246634.6185714342</v>
      </c>
      <c r="AP72" s="87">
        <f t="shared" si="30"/>
        <v>7620894.2346571498</v>
      </c>
      <c r="AQ72" s="237">
        <v>0.22</v>
      </c>
      <c r="AR72" s="3">
        <v>7620000</v>
      </c>
      <c r="AS72" s="240">
        <f t="shared" si="31"/>
        <v>7619999.9999999991</v>
      </c>
      <c r="AT72" s="31">
        <f t="shared" si="33"/>
        <v>0</v>
      </c>
      <c r="AV72" s="253">
        <f>VLOOKUP(B72,[17]AKSoftSalesReport!$A:$B,2,0)</f>
        <v>154731.5</v>
      </c>
      <c r="AW72" s="28">
        <f t="shared" si="47"/>
        <v>277776.10000000009</v>
      </c>
      <c r="AX72" s="28">
        <f>VLOOKUP(B72,[18]AKSoftSalesReport!$A:$B,2,0)</f>
        <v>114539</v>
      </c>
      <c r="AY72" s="79">
        <f t="shared" si="48"/>
        <v>392315.10000000009</v>
      </c>
      <c r="AZ72" s="28">
        <v>114539</v>
      </c>
      <c r="BA72" s="28">
        <f t="shared" si="49"/>
        <v>227986</v>
      </c>
      <c r="BB72" s="28">
        <f>VLOOKUP(B72,[19]AKSoftSalesReport!$A:$B,2,0)</f>
        <v>157876</v>
      </c>
      <c r="BC72" s="28">
        <f t="shared" si="50"/>
        <v>385862</v>
      </c>
    </row>
    <row r="73" spans="1:55" x14ac:dyDescent="0.3">
      <c r="A73" s="61">
        <v>70</v>
      </c>
      <c r="B73" s="90" t="s">
        <v>146</v>
      </c>
      <c r="C73" s="70">
        <f>VLOOKUP(B73,[3]AKSoftSalesReport!$B$2:$C$87,2,0)</f>
        <v>393213.95000000059</v>
      </c>
      <c r="D73" s="7">
        <f t="shared" si="18"/>
        <v>5.7852140471890745E-2</v>
      </c>
      <c r="E73" s="85">
        <f t="shared" si="34"/>
        <v>530793.38882959762</v>
      </c>
      <c r="F73" s="70">
        <f>VLOOKUP(B73,[4]AKSoftSalesReport!$B$2:$C$87,2,0)</f>
        <v>421295.05000000005</v>
      </c>
      <c r="G73" s="7">
        <f t="shared" si="19"/>
        <v>6.1983610735865807E-2</v>
      </c>
      <c r="H73" s="85">
        <f t="shared" si="35"/>
        <v>568699.6285015688</v>
      </c>
      <c r="I73" s="70">
        <f>VLOOKUP(B73,[5]AKSoftSalesReport!$B$2:$C$87,2,0)</f>
        <v>321865</v>
      </c>
      <c r="J73" s="7">
        <f t="shared" si="20"/>
        <v>4.7354828568480556E-2</v>
      </c>
      <c r="K73" s="85">
        <f t="shared" si="36"/>
        <v>434480.55211580911</v>
      </c>
      <c r="L73" s="6">
        <f>VLOOKUP(B73,[6]AKSoftSalesReport!$B$2:$C$87,2,0)</f>
        <v>473337.4800000001</v>
      </c>
      <c r="M73" s="7">
        <f t="shared" si="21"/>
        <v>6.9640424465029133E-2</v>
      </c>
      <c r="N73" s="85">
        <f t="shared" si="37"/>
        <v>638950.89446664229</v>
      </c>
      <c r="O73" s="6">
        <f>VLOOKUP(B73,[7]AKSoftSalesReport!$B$2:$C$89,2,0)</f>
        <v>517220.28000000014</v>
      </c>
      <c r="P73" s="7">
        <f t="shared" si="22"/>
        <v>7.609674146471819E-2</v>
      </c>
      <c r="Q73" s="85">
        <f t="shared" si="38"/>
        <v>698187.60293878941</v>
      </c>
      <c r="R73" s="6">
        <f>VLOOKUP(B73,[8]AKSoftSalesReport!$B$2:$C$93,2,0)</f>
        <v>576147.0000000014</v>
      </c>
      <c r="S73" s="7">
        <f t="shared" si="23"/>
        <v>8.4766415780667154E-2</v>
      </c>
      <c r="T73" s="85">
        <f t="shared" si="39"/>
        <v>777731.86478762119</v>
      </c>
      <c r="U73" s="71">
        <f>VLOOKUP(B73,[9]AKSoftSalesReport!$B$2:$C$94,2,0)</f>
        <v>663617.18000000075</v>
      </c>
      <c r="V73" s="7">
        <f t="shared" si="24"/>
        <v>9.7635585708289313E-2</v>
      </c>
      <c r="W73" s="85">
        <f t="shared" si="40"/>
        <v>895806.4988735544</v>
      </c>
      <c r="X73" s="71">
        <f>VLOOKUP(B73,[10]AKSoftSalesReport!$B$2:$C$94,2,0)</f>
        <v>714607.15000000014</v>
      </c>
      <c r="Y73" s="7">
        <f t="shared" si="25"/>
        <v>0.10513755481975511</v>
      </c>
      <c r="Z73" s="85">
        <f t="shared" si="41"/>
        <v>964637.06547125312</v>
      </c>
      <c r="AA73" s="71">
        <f>VLOOKUP(B73,[11]AKSoftSalesReport!$B$2:$C$94,2,0)</f>
        <v>656778.12</v>
      </c>
      <c r="AB73" s="7">
        <f t="shared" si="26"/>
        <v>9.6629379647146948E-2</v>
      </c>
      <c r="AC73" s="85">
        <f t="shared" si="42"/>
        <v>886574.55826257321</v>
      </c>
      <c r="AD73" s="51">
        <f>VLOOKUP(B73,[12]AKSoftSalesReport!$B$2:$C$89,2,0)</f>
        <v>710471.02000000095</v>
      </c>
      <c r="AE73" s="7">
        <f t="shared" si="27"/>
        <v>0.10452902103358105</v>
      </c>
      <c r="AF73" s="85">
        <f t="shared" si="43"/>
        <v>959053.7679831062</v>
      </c>
      <c r="AG73" s="154">
        <f>VLOOKUP(B73,[13]AKSoftSalesReport!$B$2:$C$90,2,0)</f>
        <v>663020</v>
      </c>
      <c r="AH73" s="7">
        <f t="shared" si="28"/>
        <v>9.7547724783601755E-2</v>
      </c>
      <c r="AI73" s="85">
        <f t="shared" si="44"/>
        <v>895000.37488954607</v>
      </c>
      <c r="AJ73" s="104">
        <f>VLOOKUP(B73,[14]AKSoftSalesReport!$A:$D,4,0)</f>
        <v>685305.92857142864</v>
      </c>
      <c r="AK73" s="7">
        <f t="shared" si="29"/>
        <v>0.10082657252097428</v>
      </c>
      <c r="AL73" s="85">
        <f t="shared" si="45"/>
        <v>925083.80287993897</v>
      </c>
      <c r="AM73" s="6">
        <f t="shared" si="46"/>
        <v>6796878.1585714323</v>
      </c>
      <c r="AN73" s="155"/>
      <c r="AO73" s="73">
        <v>6796878.1585714323</v>
      </c>
      <c r="AP73" s="87">
        <f t="shared" si="30"/>
        <v>9175785.5140714329</v>
      </c>
      <c r="AQ73" s="237">
        <v>0.35</v>
      </c>
      <c r="AR73" s="3">
        <v>9175000</v>
      </c>
      <c r="AS73" s="240">
        <f t="shared" si="31"/>
        <v>9175000</v>
      </c>
      <c r="AT73" s="31">
        <f t="shared" si="33"/>
        <v>0</v>
      </c>
      <c r="AV73" s="253">
        <f>VLOOKUP(B73,[17]AKSoftSalesReport!$A:$B,2,0)</f>
        <v>137939</v>
      </c>
      <c r="AW73" s="28">
        <f t="shared" si="47"/>
        <v>283356.05000000005</v>
      </c>
      <c r="AX73" s="28">
        <f>VLOOKUP(B73,[18]AKSoftSalesReport!$A:$B,2,0)</f>
        <v>97251</v>
      </c>
      <c r="AY73" s="79">
        <f t="shared" si="48"/>
        <v>380607.05000000005</v>
      </c>
      <c r="AZ73" s="28">
        <v>97251</v>
      </c>
      <c r="BA73" s="28">
        <f t="shared" si="49"/>
        <v>224614</v>
      </c>
      <c r="BB73" s="28">
        <f>VLOOKUP(B73,[19]AKSoftSalesReport!$A:$B,2,0)</f>
        <v>139234</v>
      </c>
      <c r="BC73" s="28">
        <f t="shared" si="50"/>
        <v>363848</v>
      </c>
    </row>
    <row r="74" spans="1:55" x14ac:dyDescent="0.3">
      <c r="A74" s="239">
        <v>71</v>
      </c>
      <c r="B74" s="89" t="s">
        <v>88</v>
      </c>
      <c r="C74" s="70">
        <f>VLOOKUP(B74,[3]AKSoftSalesReport!$B$2:$C$87,2,0)</f>
        <v>2670550.9199999967</v>
      </c>
      <c r="D74" s="7">
        <f t="shared" si="18"/>
        <v>6.180512445823276E-2</v>
      </c>
      <c r="E74" s="85">
        <f t="shared" si="34"/>
        <v>3605092.9096487169</v>
      </c>
      <c r="F74" s="70">
        <f>VLOOKUP(B74,[4]AKSoftSalesReport!$B$2:$C$87,2,0)</f>
        <v>2678040.5</v>
      </c>
      <c r="G74" s="7">
        <f t="shared" si="19"/>
        <v>6.197845739136406E-2</v>
      </c>
      <c r="H74" s="85">
        <f t="shared" si="35"/>
        <v>3615203.4196382654</v>
      </c>
      <c r="I74" s="70">
        <f>VLOOKUP(B74,[5]AKSoftSalesReport!$B$2:$C$87,2,0)</f>
        <v>1633131</v>
      </c>
      <c r="J74" s="7">
        <f t="shared" si="20"/>
        <v>3.7795895953782542E-2</v>
      </c>
      <c r="K74" s="85">
        <f t="shared" si="36"/>
        <v>2204634.6109841359</v>
      </c>
      <c r="L74" s="6">
        <f>VLOOKUP(B74,[6]AKSoftSalesReport!$B$2:$C$87,2,0)</f>
        <v>3191937</v>
      </c>
      <c r="M74" s="7">
        <f t="shared" si="21"/>
        <v>7.3871672721311885E-2</v>
      </c>
      <c r="N74" s="85">
        <f t="shared" si="37"/>
        <v>4308934.6698341221</v>
      </c>
      <c r="O74" s="6">
        <f>VLOOKUP(B74,[7]AKSoftSalesReport!$B$2:$C$89,2,0)</f>
        <v>3470171.11</v>
      </c>
      <c r="P74" s="7">
        <f t="shared" si="22"/>
        <v>8.0310903543795373E-2</v>
      </c>
      <c r="Q74" s="85">
        <f t="shared" si="38"/>
        <v>4684535.0037095845</v>
      </c>
      <c r="R74" s="6">
        <f>VLOOKUP(B74,[8]AKSoftSalesReport!$B$2:$C$93,2,0)</f>
        <v>4088567.87</v>
      </c>
      <c r="S74" s="7">
        <f t="shared" si="23"/>
        <v>9.4622590480799351E-2</v>
      </c>
      <c r="T74" s="85">
        <f t="shared" si="39"/>
        <v>5519335.702745026</v>
      </c>
      <c r="U74" s="71">
        <f>VLOOKUP(B74,[9]AKSoftSalesReport!$B$2:$C$94,2,0)</f>
        <v>5182397.51</v>
      </c>
      <c r="V74" s="7">
        <f t="shared" si="24"/>
        <v>0.11993732105942617</v>
      </c>
      <c r="W74" s="85">
        <f t="shared" si="40"/>
        <v>6995943.9373963289</v>
      </c>
      <c r="X74" s="71">
        <f>VLOOKUP(B74,[10]AKSoftSalesReport!$B$2:$C$94,2,0)</f>
        <v>5710571.5999997389</v>
      </c>
      <c r="Y74" s="7">
        <f t="shared" si="25"/>
        <v>0.13216096567281843</v>
      </c>
      <c r="Z74" s="85">
        <f t="shared" si="41"/>
        <v>7708949.127695499</v>
      </c>
      <c r="AA74" s="71">
        <f>VLOOKUP(B74,[11]AKSoftSalesReport!$B$2:$C$94,2,0)</f>
        <v>4405392</v>
      </c>
      <c r="AB74" s="7">
        <f t="shared" si="26"/>
        <v>0.10195491829352697</v>
      </c>
      <c r="AC74" s="85">
        <f t="shared" si="42"/>
        <v>5947030.3840614287</v>
      </c>
      <c r="AD74" s="51">
        <f>VLOOKUP(B74,[12]AKSoftSalesReport!$B$2:$C$89,2,0)</f>
        <v>3416644.4599999925</v>
      </c>
      <c r="AE74" s="7">
        <f t="shared" si="27"/>
        <v>7.9072124968068855E-2</v>
      </c>
      <c r="AF74" s="85">
        <f t="shared" si="43"/>
        <v>4612277.0493874559</v>
      </c>
      <c r="AG74" s="154">
        <f>VLOOKUP(B74,[13]AKSoftSalesReport!$B$2:$C$90,2,0)</f>
        <v>3292403</v>
      </c>
      <c r="AH74" s="7">
        <f t="shared" si="28"/>
        <v>7.6196778596402559E-2</v>
      </c>
      <c r="AI74" s="85">
        <f t="shared" si="44"/>
        <v>4444558.0955281612</v>
      </c>
      <c r="AJ74" s="104">
        <f>VLOOKUP(B74,[14]AKSoftSalesReport!$A:$D,4,0)</f>
        <v>3469408.1785714286</v>
      </c>
      <c r="AK74" s="7">
        <f t="shared" si="29"/>
        <v>8.029324686047104E-2</v>
      </c>
      <c r="AL74" s="85">
        <f t="shared" si="45"/>
        <v>4683505.0893712761</v>
      </c>
      <c r="AM74" s="6">
        <f t="shared" si="46"/>
        <v>43209215.148571156</v>
      </c>
      <c r="AN74" s="155"/>
      <c r="AO74" s="73">
        <v>43209215.148571156</v>
      </c>
      <c r="AP74" s="87">
        <f t="shared" si="30"/>
        <v>58332440.45057106</v>
      </c>
      <c r="AQ74" s="237">
        <v>0.35</v>
      </c>
      <c r="AR74" s="1">
        <v>58330000</v>
      </c>
      <c r="AS74" s="240">
        <f t="shared" si="31"/>
        <v>58330000</v>
      </c>
      <c r="AT74" s="31">
        <f t="shared" si="33"/>
        <v>0</v>
      </c>
      <c r="AV74" s="253">
        <f>VLOOKUP(B74,[17]AKSoftSalesReport!$A:$B,2,0)</f>
        <v>1000725.5</v>
      </c>
      <c r="AW74" s="28">
        <f t="shared" si="47"/>
        <v>1677315</v>
      </c>
      <c r="AX74" s="28">
        <f>VLOOKUP(B74,[18]AKSoftSalesReport!$A:$B,2,0)</f>
        <v>491732</v>
      </c>
      <c r="AY74" s="79">
        <f t="shared" si="48"/>
        <v>2169047</v>
      </c>
      <c r="AZ74" s="28">
        <v>491732</v>
      </c>
      <c r="BA74" s="28">
        <f t="shared" si="49"/>
        <v>1141399</v>
      </c>
      <c r="BB74" s="28">
        <f>VLOOKUP(B74,[19]AKSoftSalesReport!$A:$B,2,0)</f>
        <v>1079973</v>
      </c>
      <c r="BC74" s="28">
        <f t="shared" si="50"/>
        <v>2221372</v>
      </c>
    </row>
    <row r="75" spans="1:55" x14ac:dyDescent="0.3">
      <c r="A75" s="61">
        <v>72</v>
      </c>
      <c r="B75" s="90" t="s">
        <v>94</v>
      </c>
      <c r="C75" s="70">
        <f>VLOOKUP(B75,[3]AKSoftSalesReport!$B$2:$C$87,2,0)</f>
        <v>1679389.5</v>
      </c>
      <c r="D75" s="7">
        <f t="shared" ref="D75:D93" si="51">C75/AO75</f>
        <v>6.6860930622768822E-2</v>
      </c>
      <c r="E75" s="85">
        <f t="shared" si="34"/>
        <v>2266585.548111863</v>
      </c>
      <c r="F75" s="70">
        <f>VLOOKUP(B75,[4]AKSoftSalesReport!$B$2:$C$87,2,0)</f>
        <v>1738481</v>
      </c>
      <c r="G75" s="7">
        <f t="shared" ref="G75:G93" si="52">F75/AO75</f>
        <v>6.9213519275904592E-2</v>
      </c>
      <c r="H75" s="85">
        <f t="shared" si="35"/>
        <v>2346338.3034531656</v>
      </c>
      <c r="I75" s="70">
        <f>VLOOKUP(B75,[5]AKSoftSalesReport!$B$2:$C$87,2,0)</f>
        <v>1062184.5</v>
      </c>
      <c r="J75" s="7">
        <f t="shared" ref="J75:J93" si="53">I75/AO75</f>
        <v>4.2288369769538509E-2</v>
      </c>
      <c r="K75" s="85">
        <f t="shared" si="36"/>
        <v>1433575.7351873554</v>
      </c>
      <c r="L75" s="6">
        <f>VLOOKUP(B75,[6]AKSoftSalesReport!$B$2:$C$87,2,0)</f>
        <v>1866807</v>
      </c>
      <c r="M75" s="7">
        <f t="shared" ref="M75:M93" si="54">L75/AO75</f>
        <v>7.4322516195974311E-2</v>
      </c>
      <c r="N75" s="85">
        <f t="shared" si="37"/>
        <v>2519533.2990435292</v>
      </c>
      <c r="O75" s="6">
        <f>VLOOKUP(B75,[7]AKSoftSalesReport!$B$2:$C$89,2,0)</f>
        <v>1979423.95</v>
      </c>
      <c r="P75" s="7">
        <f t="shared" ref="P75:P93" si="55">O75/AO75</f>
        <v>7.880609435392863E-2</v>
      </c>
      <c r="Q75" s="85">
        <f t="shared" si="38"/>
        <v>2671526.5985981803</v>
      </c>
      <c r="R75" s="6">
        <f>VLOOKUP(B75,[8]AKSoftSalesReport!$B$2:$C$93,2,0)</f>
        <v>2473070</v>
      </c>
      <c r="S75" s="7">
        <f t="shared" ref="S75:S93" si="56">R75/AO75</f>
        <v>9.8459447135551881E-2</v>
      </c>
      <c r="T75" s="85">
        <f t="shared" si="39"/>
        <v>3337775.2578952089</v>
      </c>
      <c r="U75" s="71">
        <f>VLOOKUP(B75,[9]AKSoftSalesReport!$B$2:$C$94,2,0)</f>
        <v>2774133</v>
      </c>
      <c r="V75" s="7">
        <f t="shared" ref="V75:V93" si="57">U75/AO75</f>
        <v>0.11044556015822032</v>
      </c>
      <c r="W75" s="85">
        <f t="shared" si="40"/>
        <v>3744104.489363669</v>
      </c>
      <c r="X75" s="71">
        <f>VLOOKUP(B75,[10]AKSoftSalesReport!$B$2:$C$94,2,0)</f>
        <v>2817359.2199999983</v>
      </c>
      <c r="Y75" s="7">
        <f t="shared" ref="Y75:Y93" si="58">X75/AO75</f>
        <v>0.11216651012039672</v>
      </c>
      <c r="Z75" s="85">
        <f t="shared" si="41"/>
        <v>3802444.6930814488</v>
      </c>
      <c r="AA75" s="71">
        <f>VLOOKUP(B75,[11]AKSoftSalesReport!$B$2:$C$94,2,0)</f>
        <v>2504308.56</v>
      </c>
      <c r="AB75" s="7">
        <f t="shared" ref="AB75:AB93" si="59">AA75/AO75</f>
        <v>9.9703136698285955E-2</v>
      </c>
      <c r="AC75" s="85">
        <f t="shared" si="42"/>
        <v>3379936.3340718937</v>
      </c>
      <c r="AD75" s="51">
        <f>VLOOKUP(B75,[12]AKSoftSalesReport!$B$2:$C$89,2,0)</f>
        <v>2314816.2000000002</v>
      </c>
      <c r="AE75" s="7">
        <f t="shared" ref="AE75:AE93" si="60">AD75/AO75</f>
        <v>9.2158945469565809E-2</v>
      </c>
      <c r="AF75" s="85">
        <f t="shared" si="43"/>
        <v>3124188.2514182809</v>
      </c>
      <c r="AG75" s="154">
        <f>VLOOKUP(B75,[13]AKSoftSalesReport!$B$2:$C$90,2,0)</f>
        <v>1985393</v>
      </c>
      <c r="AH75" s="7">
        <f t="shared" ref="AH75:AH93" si="61">AG75/AO75</f>
        <v>7.9043737996415286E-2</v>
      </c>
      <c r="AI75" s="85">
        <f t="shared" si="44"/>
        <v>2679582.7180784782</v>
      </c>
      <c r="AJ75" s="104">
        <f>VLOOKUP(B75,[14]AKSoftSalesReport!$A:$D,4,0)</f>
        <v>1922284.7571428569</v>
      </c>
      <c r="AK75" s="7">
        <f t="shared" ref="AK75:AK93" si="62">AJ75/AO75</f>
        <v>7.6531232203449276E-2</v>
      </c>
      <c r="AL75" s="85">
        <f t="shared" si="45"/>
        <v>2594408.7716969303</v>
      </c>
      <c r="AM75" s="6">
        <f t="shared" si="46"/>
        <v>25117650.687142853</v>
      </c>
      <c r="AN75" s="155"/>
      <c r="AO75" s="73">
        <v>25117650.687142853</v>
      </c>
      <c r="AP75" s="87">
        <f t="shared" ref="AP75:AP93" si="63">(AO75*AQ75)+AO75</f>
        <v>33908828.427642852</v>
      </c>
      <c r="AQ75" s="237">
        <v>0.35</v>
      </c>
      <c r="AR75" s="1">
        <v>33900000</v>
      </c>
      <c r="AS75" s="240">
        <f t="shared" si="31"/>
        <v>33900000.000000007</v>
      </c>
      <c r="AT75" s="31">
        <f t="shared" si="33"/>
        <v>0</v>
      </c>
      <c r="AV75" s="253">
        <f>VLOOKUP(B75,[17]AKSoftSalesReport!$A:$B,2,0)</f>
        <v>632266.5</v>
      </c>
      <c r="AW75" s="28">
        <f t="shared" si="47"/>
        <v>1106214.5</v>
      </c>
      <c r="AX75" s="28">
        <f>VLOOKUP(B75,[18]AKSoftSalesReport!$A:$B,2,0)</f>
        <v>278851.5</v>
      </c>
      <c r="AY75" s="79">
        <f t="shared" si="48"/>
        <v>1385066</v>
      </c>
      <c r="AZ75" s="28">
        <v>278851.5</v>
      </c>
      <c r="BA75" s="28">
        <f t="shared" si="49"/>
        <v>783333</v>
      </c>
      <c r="BB75" s="28">
        <f>VLOOKUP(B75,[19]AKSoftSalesReport!$A:$B,2,0)</f>
        <v>624616</v>
      </c>
      <c r="BC75" s="28">
        <f t="shared" si="50"/>
        <v>1407949</v>
      </c>
    </row>
    <row r="76" spans="1:55" x14ac:dyDescent="0.3">
      <c r="A76" s="239">
        <v>73</v>
      </c>
      <c r="B76" s="89" t="s">
        <v>101</v>
      </c>
      <c r="C76" s="70">
        <f>VLOOKUP(B76,[3]AKSoftSalesReport!$B$2:$C$87,2,0)</f>
        <v>1564246.7900000031</v>
      </c>
      <c r="D76" s="7">
        <f t="shared" si="51"/>
        <v>6.2627807831702159E-2</v>
      </c>
      <c r="E76" s="85">
        <f t="shared" si="34"/>
        <v>2111809.6800849969</v>
      </c>
      <c r="F76" s="70">
        <f>VLOOKUP(B76,[4]AKSoftSalesReport!$B$2:$C$87,2,0)</f>
        <v>1367693.5</v>
      </c>
      <c r="G76" s="7">
        <f t="shared" si="52"/>
        <v>5.4758396333783099E-2</v>
      </c>
      <c r="H76" s="85">
        <f t="shared" si="35"/>
        <v>1846453.1243751661</v>
      </c>
      <c r="I76" s="70">
        <f>VLOOKUP(B76,[5]AKSoftSalesReport!$B$2:$C$87,2,0)</f>
        <v>1044196</v>
      </c>
      <c r="J76" s="7">
        <f t="shared" si="53"/>
        <v>4.1806514703879909E-2</v>
      </c>
      <c r="K76" s="85">
        <f t="shared" si="36"/>
        <v>1409715.6758148305</v>
      </c>
      <c r="L76" s="6">
        <f>VLOOKUP(B76,[6]AKSoftSalesReport!$B$2:$C$87,2,0)</f>
        <v>1803759</v>
      </c>
      <c r="M76" s="7">
        <f t="shared" si="54"/>
        <v>7.2217167232737647E-2</v>
      </c>
      <c r="N76" s="85">
        <f t="shared" si="37"/>
        <v>2435162.8790879133</v>
      </c>
      <c r="O76" s="6">
        <f>VLOOKUP(B76,[7]AKSoftSalesReport!$B$2:$C$89,2,0)</f>
        <v>1883564.3</v>
      </c>
      <c r="P76" s="7">
        <f t="shared" si="55"/>
        <v>7.5412335044046583E-2</v>
      </c>
      <c r="Q76" s="85">
        <f t="shared" si="38"/>
        <v>2542903.9376852508</v>
      </c>
      <c r="R76" s="6">
        <f>VLOOKUP(B76,[8]AKSoftSalesReport!$B$2:$C$93,2,0)</f>
        <v>2287194.56</v>
      </c>
      <c r="S76" s="7">
        <f t="shared" si="56"/>
        <v>9.157249501365082E-2</v>
      </c>
      <c r="T76" s="85">
        <f t="shared" si="39"/>
        <v>3087824.5318603055</v>
      </c>
      <c r="U76" s="71">
        <f>VLOOKUP(B76,[9]AKSoftSalesReport!$B$2:$C$94,2,0)</f>
        <v>2699812.98</v>
      </c>
      <c r="V76" s="7">
        <f t="shared" si="57"/>
        <v>0.10809251428476629</v>
      </c>
      <c r="W76" s="85">
        <f t="shared" si="40"/>
        <v>3644879.5816823193</v>
      </c>
      <c r="X76" s="71">
        <f>VLOOKUP(B76,[10]AKSoftSalesReport!$B$2:$C$94,2,0)</f>
        <v>3002854.3699999964</v>
      </c>
      <c r="Y76" s="7">
        <f t="shared" si="58"/>
        <v>0.12022539386572528</v>
      </c>
      <c r="Z76" s="85">
        <f t="shared" si="41"/>
        <v>4054000.2811522568</v>
      </c>
      <c r="AA76" s="71">
        <f>VLOOKUP(B76,[11]AKSoftSalesReport!$B$2:$C$94,2,0)</f>
        <v>2694575</v>
      </c>
      <c r="AB76" s="7">
        <f t="shared" si="59"/>
        <v>0.1078828010816046</v>
      </c>
      <c r="AC76" s="85">
        <f t="shared" si="42"/>
        <v>3637808.0524717071</v>
      </c>
      <c r="AD76" s="51">
        <f>VLOOKUP(B76,[12]AKSoftSalesReport!$B$2:$C$89,2,0)</f>
        <v>2257677.2000000002</v>
      </c>
      <c r="AE76" s="7">
        <f t="shared" si="60"/>
        <v>9.039070735610405E-2</v>
      </c>
      <c r="AF76" s="85">
        <f t="shared" si="43"/>
        <v>3047974.6520478288</v>
      </c>
      <c r="AG76" s="154">
        <f>VLOOKUP(B76,[13]AKSoftSalesReport!$B$2:$C$90,2,0)</f>
        <v>2181977</v>
      </c>
      <c r="AH76" s="7">
        <f t="shared" si="61"/>
        <v>8.7359895588594264E-2</v>
      </c>
      <c r="AI76" s="85">
        <f t="shared" si="44"/>
        <v>2945775.6792473984</v>
      </c>
      <c r="AJ76" s="104">
        <f>VLOOKUP(B76,[14]AKSoftSalesReport!$A:$D,4,0)</f>
        <v>2189322.1007142863</v>
      </c>
      <c r="AK76" s="7">
        <f t="shared" si="62"/>
        <v>8.7653971663405203E-2</v>
      </c>
      <c r="AL76" s="85">
        <f t="shared" si="45"/>
        <v>2955691.9244900234</v>
      </c>
      <c r="AM76" s="6">
        <f t="shared" si="46"/>
        <v>24976872.800714288</v>
      </c>
      <c r="AN76" s="155"/>
      <c r="AO76" s="73">
        <v>24976872.800714288</v>
      </c>
      <c r="AP76" s="87">
        <f t="shared" si="63"/>
        <v>33718778.280964285</v>
      </c>
      <c r="AQ76" s="237">
        <v>0.35</v>
      </c>
      <c r="AR76" s="1">
        <v>33720000</v>
      </c>
      <c r="AS76" s="240">
        <f t="shared" ref="AS76:AS93" si="64">E76+H76+K76+N76+Q76+T76+W76+Z76+AC76+AF76+AI76+AL76</f>
        <v>33720000</v>
      </c>
      <c r="AT76" s="31">
        <f t="shared" si="33"/>
        <v>0</v>
      </c>
      <c r="AV76" s="253">
        <f>VLOOKUP(B76,[17]AKSoftSalesReport!$A:$B,2,0)</f>
        <v>492850</v>
      </c>
      <c r="AW76" s="28">
        <f t="shared" si="47"/>
        <v>874843.5</v>
      </c>
      <c r="AX76" s="28">
        <f>VLOOKUP(B76,[18]AKSoftSalesReport!$A:$B,2,0)</f>
        <v>283828</v>
      </c>
      <c r="AY76" s="79">
        <f t="shared" si="48"/>
        <v>1158671.5</v>
      </c>
      <c r="AZ76" s="28">
        <v>283828</v>
      </c>
      <c r="BA76" s="28">
        <f t="shared" si="49"/>
        <v>760368</v>
      </c>
      <c r="BB76" s="28">
        <f>VLOOKUP(B76,[19]AKSoftSalesReport!$A:$B,2,0)</f>
        <v>638905</v>
      </c>
      <c r="BC76" s="28">
        <f t="shared" si="50"/>
        <v>1399273</v>
      </c>
    </row>
    <row r="77" spans="1:55" x14ac:dyDescent="0.3">
      <c r="A77" s="61">
        <v>74</v>
      </c>
      <c r="B77" s="90" t="s">
        <v>139</v>
      </c>
      <c r="C77" s="70">
        <f>VLOOKUP(B77,[3]AKSoftSalesReport!$B$2:$C$87,2,0)</f>
        <v>1570857.7700000009</v>
      </c>
      <c r="D77" s="7">
        <f t="shared" si="51"/>
        <v>6.7265839208663553E-2</v>
      </c>
      <c r="E77" s="85">
        <f t="shared" si="34"/>
        <v>2120555.5810531187</v>
      </c>
      <c r="F77" s="70">
        <f>VLOOKUP(B77,[4]AKSoftSalesReport!$B$2:$C$87,2,0)</f>
        <v>1500830.02</v>
      </c>
      <c r="G77" s="7">
        <f t="shared" si="52"/>
        <v>6.426717474546105E-2</v>
      </c>
      <c r="H77" s="85">
        <f t="shared" si="35"/>
        <v>2026022.6838506595</v>
      </c>
      <c r="I77" s="70">
        <f>VLOOKUP(B77,[5]AKSoftSalesReport!$B$2:$C$87,2,0)</f>
        <v>756546</v>
      </c>
      <c r="J77" s="7">
        <f t="shared" si="53"/>
        <v>3.2396123036624473E-2</v>
      </c>
      <c r="K77" s="85">
        <f t="shared" si="36"/>
        <v>1021287.7787295865</v>
      </c>
      <c r="L77" s="6">
        <f>VLOOKUP(B77,[6]AKSoftSalesReport!$B$2:$C$87,2,0)</f>
        <v>1706269.2000000002</v>
      </c>
      <c r="M77" s="7">
        <f t="shared" si="54"/>
        <v>7.3064304003725905E-2</v>
      </c>
      <c r="N77" s="85">
        <f t="shared" si="37"/>
        <v>2303352.183717459</v>
      </c>
      <c r="O77" s="6">
        <f>VLOOKUP(B77,[7]AKSoftSalesReport!$B$2:$C$89,2,0)</f>
        <v>1650303.35</v>
      </c>
      <c r="P77" s="7">
        <f t="shared" si="55"/>
        <v>7.0667785401487215E-2</v>
      </c>
      <c r="Q77" s="85">
        <f t="shared" si="38"/>
        <v>2227801.9347818843</v>
      </c>
      <c r="R77" s="6">
        <f>VLOOKUP(B77,[8]AKSoftSalesReport!$B$2:$C$93,2,0)</f>
        <v>2010329.4300000011</v>
      </c>
      <c r="S77" s="7">
        <f t="shared" si="56"/>
        <v>8.6084493948057603E-2</v>
      </c>
      <c r="T77" s="85">
        <f t="shared" si="39"/>
        <v>2713813.6717125159</v>
      </c>
      <c r="U77" s="71">
        <f>VLOOKUP(B77,[9]AKSoftSalesReport!$B$2:$C$94,2,0)</f>
        <v>2663366.1599999997</v>
      </c>
      <c r="V77" s="7">
        <f t="shared" si="57"/>
        <v>0.11404823739857464</v>
      </c>
      <c r="W77" s="85">
        <f t="shared" si="40"/>
        <v>3595370.6839900655</v>
      </c>
      <c r="X77" s="71">
        <f>VLOOKUP(B77,[10]AKSoftSalesReport!$B$2:$C$94,2,0)</f>
        <v>2822331.3600000022</v>
      </c>
      <c r="Y77" s="7">
        <f t="shared" si="58"/>
        <v>0.12085530025759671</v>
      </c>
      <c r="Z77" s="85">
        <f t="shared" si="41"/>
        <v>3809963.3406207361</v>
      </c>
      <c r="AA77" s="71">
        <f>VLOOKUP(B77,[11]AKSoftSalesReport!$B$2:$C$94,2,0)</f>
        <v>2322683.46</v>
      </c>
      <c r="AB77" s="7">
        <f t="shared" si="59"/>
        <v>9.9459833434176692E-2</v>
      </c>
      <c r="AC77" s="85">
        <f t="shared" si="42"/>
        <v>3135471.2490124204</v>
      </c>
      <c r="AD77" s="51">
        <f>VLOOKUP(B77,[12]AKSoftSalesReport!$B$2:$C$89,2,0)</f>
        <v>2366166.6</v>
      </c>
      <c r="AE77" s="7">
        <f t="shared" si="60"/>
        <v>0.10132182880981647</v>
      </c>
      <c r="AF77" s="85">
        <f t="shared" si="43"/>
        <v>3194170.6532294643</v>
      </c>
      <c r="AG77" s="154">
        <f>VLOOKUP(B77,[13]AKSoftSalesReport!$B$2:$C$90,2,0)</f>
        <v>1994632</v>
      </c>
      <c r="AH77" s="7">
        <f t="shared" si="61"/>
        <v>8.5412312912616487E-2</v>
      </c>
      <c r="AI77" s="85">
        <f t="shared" si="44"/>
        <v>2692623.1645702347</v>
      </c>
      <c r="AJ77" s="104">
        <f>VLOOKUP(B77,[14]AKSoftSalesReport!$A:$D,4,0)</f>
        <v>1988664.2378571434</v>
      </c>
      <c r="AK77" s="7">
        <f t="shared" si="62"/>
        <v>8.5156766843199297E-2</v>
      </c>
      <c r="AL77" s="85">
        <f t="shared" si="45"/>
        <v>2684567.074731858</v>
      </c>
      <c r="AM77" s="6">
        <f t="shared" si="46"/>
        <v>23352979.587857146</v>
      </c>
      <c r="AN77" s="155"/>
      <c r="AO77" s="104">
        <v>23352979.587857146</v>
      </c>
      <c r="AP77" s="87">
        <f t="shared" si="63"/>
        <v>31526522.443607144</v>
      </c>
      <c r="AQ77" s="237">
        <v>0.35</v>
      </c>
      <c r="AR77" s="1">
        <v>31525000</v>
      </c>
      <c r="AS77" s="240">
        <f t="shared" si="64"/>
        <v>31525000.000000004</v>
      </c>
      <c r="AT77" s="31">
        <f t="shared" si="33"/>
        <v>0</v>
      </c>
      <c r="AV77" s="253">
        <f>VLOOKUP(B77,[17]AKSoftSalesReport!$A:$B,2,0)</f>
        <v>538581</v>
      </c>
      <c r="AW77" s="28">
        <f t="shared" si="47"/>
        <v>962249.02</v>
      </c>
      <c r="AX77" s="28">
        <f>VLOOKUP(B77,[18]AKSoftSalesReport!$A:$B,2,0)</f>
        <v>209828</v>
      </c>
      <c r="AY77" s="79">
        <f t="shared" si="48"/>
        <v>1172077.02</v>
      </c>
      <c r="AZ77" s="28">
        <v>209828</v>
      </c>
      <c r="BA77" s="28">
        <f t="shared" si="49"/>
        <v>546718</v>
      </c>
      <c r="BB77" s="28">
        <f>VLOOKUP(B77,[19]AKSoftSalesReport!$A:$B,2,0)</f>
        <v>678844</v>
      </c>
      <c r="BC77" s="28">
        <f t="shared" si="50"/>
        <v>1225562</v>
      </c>
    </row>
    <row r="78" spans="1:55" x14ac:dyDescent="0.3">
      <c r="A78" s="239">
        <v>75</v>
      </c>
      <c r="B78" s="102" t="s">
        <v>228</v>
      </c>
      <c r="C78" s="70">
        <f>VLOOKUP(B78,[3]AKSoftSalesReport!$B$2:$C$87,2,0)</f>
        <v>228812.5</v>
      </c>
      <c r="D78" s="7">
        <f t="shared" si="51"/>
        <v>2.4208109344996842E-2</v>
      </c>
      <c r="E78" s="85">
        <f t="shared" si="34"/>
        <v>308895.47524215968</v>
      </c>
      <c r="F78" s="70">
        <f>VLOOKUP(B78,[4]AKSoftSalesReport!$B$2:$C$87,2,0)</f>
        <v>578260</v>
      </c>
      <c r="G78" s="7">
        <f t="shared" si="52"/>
        <v>6.1179268221088767E-2</v>
      </c>
      <c r="H78" s="85">
        <f t="shared" si="35"/>
        <v>780647.4625010927</v>
      </c>
      <c r="I78" s="70">
        <f>VLOOKUP(B78,[5]AKSoftSalesReport!$B$2:$C$87,2,0)</f>
        <v>339232</v>
      </c>
      <c r="J78" s="7">
        <f t="shared" si="53"/>
        <v>3.5890370278380636E-2</v>
      </c>
      <c r="K78" s="85">
        <f t="shared" si="36"/>
        <v>457961.12475213694</v>
      </c>
      <c r="L78" s="6">
        <f>VLOOKUP(B78,[6]AKSoftSalesReport!$B$2:$C$87,2,0)</f>
        <v>640997.09</v>
      </c>
      <c r="M78" s="7">
        <f t="shared" si="54"/>
        <v>6.7816782931635206E-2</v>
      </c>
      <c r="N78" s="85">
        <f t="shared" si="37"/>
        <v>865342.15020766517</v>
      </c>
      <c r="O78" s="6">
        <f>VLOOKUP(B78,[7]AKSoftSalesReport!$B$2:$C$89,2,0)</f>
        <v>608642.46</v>
      </c>
      <c r="P78" s="7">
        <f t="shared" si="55"/>
        <v>6.4393698874352867E-2</v>
      </c>
      <c r="Q78" s="85">
        <f t="shared" si="38"/>
        <v>821663.59763674263</v>
      </c>
      <c r="R78" s="6">
        <f>VLOOKUP(B78,[8]AKSoftSalesReport!$B$2:$C$93,2,0)</f>
        <v>646271.94999999995</v>
      </c>
      <c r="S78" s="7">
        <f t="shared" si="56"/>
        <v>6.8374857283602652E-2</v>
      </c>
      <c r="T78" s="85">
        <f t="shared" si="39"/>
        <v>872463.17893876985</v>
      </c>
      <c r="U78" s="71">
        <f>VLOOKUP(B78,[9]AKSoftSalesReport!$B$2:$C$94,2,0)</f>
        <v>744312</v>
      </c>
      <c r="V78" s="7">
        <f t="shared" si="57"/>
        <v>7.8747386103439662E-2</v>
      </c>
      <c r="W78" s="85">
        <f t="shared" si="40"/>
        <v>1004816.6466798901</v>
      </c>
      <c r="X78" s="71">
        <f>VLOOKUP(B78,[10]AKSoftSalesReport!$B$2:$C$94,2,0)</f>
        <v>907617.84000000102</v>
      </c>
      <c r="Y78" s="7">
        <f t="shared" si="58"/>
        <v>9.6024963296104326E-2</v>
      </c>
      <c r="Z78" s="85">
        <f t="shared" si="41"/>
        <v>1225278.5316582911</v>
      </c>
      <c r="AA78" s="71">
        <f>VLOOKUP(B78,[11]AKSoftSalesReport!$B$2:$C$94,2,0)</f>
        <v>1026740.25</v>
      </c>
      <c r="AB78" s="7">
        <f t="shared" si="59"/>
        <v>0.10862798247870808</v>
      </c>
      <c r="AC78" s="85">
        <f t="shared" si="42"/>
        <v>1386093.0564283151</v>
      </c>
      <c r="AD78" s="51">
        <f>VLOOKUP(B78,[12]AKSoftSalesReport!$B$2:$C$89,2,0)</f>
        <v>1066403.45</v>
      </c>
      <c r="AE78" s="7">
        <f t="shared" si="60"/>
        <v>0.11282430515588908</v>
      </c>
      <c r="AF78" s="85">
        <f t="shared" si="43"/>
        <v>1439638.1337891447</v>
      </c>
      <c r="AG78" s="154">
        <f>VLOOKUP(B78,[13]AKSoftSalesReport!$B$2:$C$90,2,0)</f>
        <v>1124351</v>
      </c>
      <c r="AH78" s="7">
        <f t="shared" si="61"/>
        <v>0.11895509183351671</v>
      </c>
      <c r="AI78" s="85">
        <f t="shared" si="44"/>
        <v>1517866.9717956732</v>
      </c>
      <c r="AJ78" s="104">
        <f>VLOOKUP(B78,[14]AKSoftSalesReport!$A:$D,4,0)</f>
        <v>1223437.1428571427</v>
      </c>
      <c r="AK78" s="7">
        <f t="shared" si="62"/>
        <v>0.12943829612025667</v>
      </c>
      <c r="AL78" s="85">
        <f t="shared" si="45"/>
        <v>1651632.6584944751</v>
      </c>
      <c r="AM78" s="6">
        <f t="shared" si="46"/>
        <v>9135077.6828571446</v>
      </c>
      <c r="AN78" s="155"/>
      <c r="AO78" s="101">
        <f>AM78+316817</f>
        <v>9451894.6828571446</v>
      </c>
      <c r="AP78" s="87">
        <f t="shared" si="63"/>
        <v>12760057.821857145</v>
      </c>
      <c r="AQ78" s="237">
        <v>0.35</v>
      </c>
      <c r="AR78" s="1">
        <v>12760000</v>
      </c>
      <c r="AS78" s="240">
        <f t="shared" si="64"/>
        <v>12332298.988124354</v>
      </c>
      <c r="AT78" s="31">
        <f t="shared" si="33"/>
        <v>-427701.01187564619</v>
      </c>
      <c r="AV78" s="253">
        <f>VLOOKUP(B78,[17]AKSoftSalesReport!$A:$B,2,0)</f>
        <v>214293</v>
      </c>
      <c r="AW78" s="28">
        <f t="shared" si="47"/>
        <v>363967</v>
      </c>
      <c r="AX78" s="28">
        <f>VLOOKUP(B78,[18]AKSoftSalesReport!$A:$B,2,0)</f>
        <v>96111</v>
      </c>
      <c r="AY78" s="79">
        <f t="shared" si="48"/>
        <v>460078</v>
      </c>
      <c r="AZ78" s="28">
        <v>96111</v>
      </c>
      <c r="BA78" s="28">
        <f t="shared" si="49"/>
        <v>243121</v>
      </c>
      <c r="BB78" s="28">
        <f>VLOOKUP(B78,[19]AKSoftSalesReport!$A:$B,2,0)</f>
        <v>237243</v>
      </c>
      <c r="BC78" s="28">
        <f t="shared" si="50"/>
        <v>480364</v>
      </c>
    </row>
    <row r="79" spans="1:55" x14ac:dyDescent="0.3">
      <c r="A79" s="61">
        <v>76</v>
      </c>
      <c r="B79" s="90" t="s">
        <v>117</v>
      </c>
      <c r="C79" s="70">
        <f>VLOOKUP(B79,[3]AKSoftSalesReport!$B$2:$C$87,2,0)</f>
        <v>979577</v>
      </c>
      <c r="D79" s="7">
        <f t="shared" si="51"/>
        <v>3.0221658904830452E-2</v>
      </c>
      <c r="E79" s="85">
        <f t="shared" si="34"/>
        <v>1273389.5979550311</v>
      </c>
      <c r="F79" s="70">
        <f>VLOOKUP(B79,[4]AKSoftSalesReport!$B$2:$C$87,2,0)</f>
        <v>1155610</v>
      </c>
      <c r="G79" s="7">
        <f t="shared" si="52"/>
        <v>3.5652583969418554E-2</v>
      </c>
      <c r="H79" s="85">
        <f t="shared" si="35"/>
        <v>1502221.6255514508</v>
      </c>
      <c r="I79" s="70">
        <f>VLOOKUP(B79,[5]AKSoftSalesReport!$B$2:$C$87,2,0)</f>
        <v>652677.58000000007</v>
      </c>
      <c r="J79" s="7">
        <f t="shared" si="53"/>
        <v>2.0136241661033481E-2</v>
      </c>
      <c r="K79" s="85">
        <f t="shared" si="36"/>
        <v>848440.54238764569</v>
      </c>
      <c r="L79" s="6">
        <f>VLOOKUP(B79,[6]AKSoftSalesReport!$B$2:$C$87,2,0)</f>
        <v>1528906.5</v>
      </c>
      <c r="M79" s="7">
        <f t="shared" si="54"/>
        <v>4.7169432051158977E-2</v>
      </c>
      <c r="N79" s="85">
        <f t="shared" si="37"/>
        <v>1987484.0194755835</v>
      </c>
      <c r="O79" s="6">
        <f>VLOOKUP(B79,[7]AKSoftSalesReport!$B$2:$C$89,2,0)</f>
        <v>2003095.5</v>
      </c>
      <c r="P79" s="7">
        <f t="shared" si="55"/>
        <v>6.179898972189099E-2</v>
      </c>
      <c r="Q79" s="85">
        <f t="shared" si="38"/>
        <v>2603900.431931877</v>
      </c>
      <c r="R79" s="6">
        <f>VLOOKUP(B79,[8]AKSoftSalesReport!$B$2:$C$93,2,0)</f>
        <v>4075231.14</v>
      </c>
      <c r="S79" s="7">
        <f t="shared" si="56"/>
        <v>0.12572798817389891</v>
      </c>
      <c r="T79" s="85">
        <f t="shared" si="39"/>
        <v>5297548.78170723</v>
      </c>
      <c r="U79" s="71">
        <f>VLOOKUP(B79,[9]AKSoftSalesReport!$B$2:$C$94,2,0)</f>
        <v>6508546</v>
      </c>
      <c r="V79" s="7">
        <f t="shared" si="57"/>
        <v>0.20079999548621355</v>
      </c>
      <c r="W79" s="85">
        <f t="shared" si="40"/>
        <v>8460707.8098116089</v>
      </c>
      <c r="X79" s="71">
        <f>VLOOKUP(B79,[10]AKSoftSalesReport!$B$2:$C$94,2,0)</f>
        <v>7971492.2299999958</v>
      </c>
      <c r="Y79" s="7">
        <f t="shared" si="58"/>
        <v>0.24593443816827684</v>
      </c>
      <c r="Z79" s="85">
        <f t="shared" si="41"/>
        <v>10362447.552220345</v>
      </c>
      <c r="AA79" s="71">
        <f>VLOOKUP(B79,[11]AKSoftSalesReport!$B$2:$C$94,2,0)</f>
        <v>3603128</v>
      </c>
      <c r="AB79" s="7">
        <f t="shared" si="59"/>
        <v>0.11116278292206119</v>
      </c>
      <c r="AC79" s="85">
        <f t="shared" si="42"/>
        <v>4683843.8584210481</v>
      </c>
      <c r="AD79" s="51">
        <f>VLOOKUP(B79,[12]AKSoftSalesReport!$B$2:$C$89,2,0)</f>
        <v>1514953</v>
      </c>
      <c r="AE79" s="7">
        <f t="shared" si="60"/>
        <v>4.6738942240221654E-2</v>
      </c>
      <c r="AF79" s="85">
        <f t="shared" si="43"/>
        <v>1969345.3312917394</v>
      </c>
      <c r="AG79" s="154">
        <f>VLOOKUP(B79,[13]AKSoftSalesReport!$B$2:$C$90,2,0)</f>
        <v>1190594</v>
      </c>
      <c r="AH79" s="7">
        <f t="shared" si="61"/>
        <v>3.6731901384105294E-2</v>
      </c>
      <c r="AI79" s="85">
        <f t="shared" si="44"/>
        <v>1547698.6648192767</v>
      </c>
      <c r="AJ79" s="104">
        <f>VLOOKUP(B79,[14]AKSoftSalesReport!$A:$D,4,0)</f>
        <v>1229267.4678571429</v>
      </c>
      <c r="AK79" s="7">
        <f t="shared" si="62"/>
        <v>3.7925045316890053E-2</v>
      </c>
      <c r="AL79" s="85">
        <f t="shared" si="45"/>
        <v>1597971.7844271625</v>
      </c>
      <c r="AM79" s="6">
        <f t="shared" si="46"/>
        <v>32413078.41785714</v>
      </c>
      <c r="AN79" s="155"/>
      <c r="AO79" s="73">
        <v>32413078.41785714</v>
      </c>
      <c r="AP79" s="87">
        <f t="shared" si="63"/>
        <v>42137001.943214282</v>
      </c>
      <c r="AQ79" s="237">
        <v>0.3</v>
      </c>
      <c r="AR79" s="1">
        <v>42135000</v>
      </c>
      <c r="AS79" s="240">
        <f t="shared" si="64"/>
        <v>42135000.000000007</v>
      </c>
      <c r="AT79" s="31">
        <f t="shared" si="33"/>
        <v>0</v>
      </c>
      <c r="AV79" s="253">
        <f>VLOOKUP(B79,[17]AKSoftSalesReport!$A:$B,2,0)</f>
        <v>466214</v>
      </c>
      <c r="AW79" s="28">
        <f t="shared" si="47"/>
        <v>689396</v>
      </c>
      <c r="AX79" s="28">
        <f>VLOOKUP(B79,[18]AKSoftSalesReport!$A:$B,2,0)</f>
        <v>172513</v>
      </c>
      <c r="AY79" s="79">
        <f t="shared" si="48"/>
        <v>861909</v>
      </c>
      <c r="AZ79" s="28">
        <v>172513</v>
      </c>
      <c r="BA79" s="28">
        <f t="shared" si="49"/>
        <v>480164.58000000007</v>
      </c>
      <c r="BB79" s="28">
        <f>VLOOKUP(B79,[19]AKSoftSalesReport!$A:$B,2,0)</f>
        <v>544646</v>
      </c>
      <c r="BC79" s="28">
        <f t="shared" si="50"/>
        <v>1024810.5800000001</v>
      </c>
    </row>
    <row r="80" spans="1:55" x14ac:dyDescent="0.3">
      <c r="A80" s="239">
        <v>77</v>
      </c>
      <c r="B80" s="89" t="s">
        <v>60</v>
      </c>
      <c r="C80" s="70">
        <v>0</v>
      </c>
      <c r="D80" s="7">
        <f t="shared" si="51"/>
        <v>0</v>
      </c>
      <c r="E80" s="85">
        <f t="shared" si="34"/>
        <v>0</v>
      </c>
      <c r="F80" s="70">
        <v>0</v>
      </c>
      <c r="G80" s="7">
        <f t="shared" si="52"/>
        <v>0</v>
      </c>
      <c r="H80" s="85">
        <f t="shared" si="35"/>
        <v>0</v>
      </c>
      <c r="I80" s="70">
        <v>0</v>
      </c>
      <c r="J80" s="7">
        <f t="shared" si="53"/>
        <v>0</v>
      </c>
      <c r="K80" s="85">
        <f t="shared" si="36"/>
        <v>0</v>
      </c>
      <c r="L80" s="6">
        <v>0</v>
      </c>
      <c r="M80" s="7">
        <f t="shared" si="54"/>
        <v>0</v>
      </c>
      <c r="N80" s="85">
        <f t="shared" si="37"/>
        <v>0</v>
      </c>
      <c r="O80" s="6">
        <v>0</v>
      </c>
      <c r="P80" s="7">
        <f t="shared" si="55"/>
        <v>0</v>
      </c>
      <c r="Q80" s="85">
        <f t="shared" si="38"/>
        <v>0</v>
      </c>
      <c r="R80" s="6">
        <f>VLOOKUP(B80,[8]AKSoftSalesReport!$B$2:$C$93,2,0)</f>
        <v>1186445.7500000026</v>
      </c>
      <c r="S80" s="7">
        <f t="shared" si="56"/>
        <v>0.23561954986962422</v>
      </c>
      <c r="T80" s="85">
        <f t="shared" si="39"/>
        <v>1602212.9391134446</v>
      </c>
      <c r="U80" s="71">
        <f>VLOOKUP(B80,[9]AKSoftSalesReport!$B$2:$C$94,2,0)</f>
        <v>1524315.25</v>
      </c>
      <c r="V80" s="7">
        <f t="shared" si="57"/>
        <v>0.30271799032058816</v>
      </c>
      <c r="W80" s="85">
        <f t="shared" si="40"/>
        <v>2058482.3341799995</v>
      </c>
      <c r="X80" s="71">
        <f>VLOOKUP(B80,[10]AKSoftSalesReport!$B$2:$C$94,2,0)</f>
        <v>1782723</v>
      </c>
      <c r="Y80" s="7">
        <f t="shared" si="58"/>
        <v>0.35403590160125331</v>
      </c>
      <c r="Z80" s="85">
        <f t="shared" si="41"/>
        <v>2407444.1308885226</v>
      </c>
      <c r="AA80" s="71">
        <f>VLOOKUP(B80,[11]AKSoftSalesReport!$B$2:$C$94,2,0)</f>
        <v>541946</v>
      </c>
      <c r="AB80" s="7">
        <f t="shared" si="59"/>
        <v>0.10762655820853427</v>
      </c>
      <c r="AC80" s="85">
        <f t="shared" si="42"/>
        <v>731860.59581803309</v>
      </c>
      <c r="AD80" s="51">
        <v>0</v>
      </c>
      <c r="AE80" s="7">
        <f t="shared" si="60"/>
        <v>0</v>
      </c>
      <c r="AF80" s="85">
        <f t="shared" si="43"/>
        <v>0</v>
      </c>
      <c r="AG80" s="154">
        <v>0</v>
      </c>
      <c r="AH80" s="7">
        <f t="shared" si="61"/>
        <v>0</v>
      </c>
      <c r="AI80" s="85">
        <f t="shared" si="44"/>
        <v>0</v>
      </c>
      <c r="AJ80" s="104">
        <v>0</v>
      </c>
      <c r="AK80" s="7">
        <f t="shared" si="62"/>
        <v>0</v>
      </c>
      <c r="AL80" s="85">
        <f t="shared" si="45"/>
        <v>0</v>
      </c>
      <c r="AM80" s="6">
        <f t="shared" si="46"/>
        <v>5035430.0000000028</v>
      </c>
      <c r="AN80" s="155"/>
      <c r="AO80" s="104">
        <v>5035430.0000000028</v>
      </c>
      <c r="AP80" s="87">
        <f t="shared" si="63"/>
        <v>6797830.5000000037</v>
      </c>
      <c r="AQ80" s="237">
        <v>0.35</v>
      </c>
      <c r="AR80" s="3">
        <v>6800000</v>
      </c>
      <c r="AS80" s="240">
        <f t="shared" si="64"/>
        <v>6800000</v>
      </c>
      <c r="AT80" s="31">
        <f t="shared" si="33"/>
        <v>0</v>
      </c>
      <c r="AV80" s="253">
        <v>0</v>
      </c>
      <c r="AW80" s="28">
        <f t="shared" si="47"/>
        <v>0</v>
      </c>
      <c r="AX80" s="28">
        <v>0</v>
      </c>
      <c r="AY80" s="79">
        <f t="shared" si="48"/>
        <v>0</v>
      </c>
      <c r="AZ80" s="28">
        <v>0</v>
      </c>
      <c r="BA80" s="28">
        <f t="shared" si="49"/>
        <v>0</v>
      </c>
      <c r="BB80" s="28">
        <v>0</v>
      </c>
      <c r="BC80" s="28">
        <f t="shared" si="50"/>
        <v>0</v>
      </c>
    </row>
    <row r="81" spans="1:55" x14ac:dyDescent="0.3">
      <c r="A81" s="61">
        <v>78</v>
      </c>
      <c r="B81" s="90" t="s">
        <v>120</v>
      </c>
      <c r="C81" s="70">
        <v>0</v>
      </c>
      <c r="D81" s="7">
        <f t="shared" si="51"/>
        <v>0</v>
      </c>
      <c r="E81" s="85">
        <f t="shared" si="34"/>
        <v>0</v>
      </c>
      <c r="F81" s="70">
        <v>0</v>
      </c>
      <c r="G81" s="7">
        <f t="shared" si="52"/>
        <v>0</v>
      </c>
      <c r="H81" s="85">
        <f t="shared" si="35"/>
        <v>0</v>
      </c>
      <c r="I81" s="70">
        <v>0</v>
      </c>
      <c r="J81" s="7">
        <f t="shared" si="53"/>
        <v>0</v>
      </c>
      <c r="K81" s="85">
        <f t="shared" si="36"/>
        <v>0</v>
      </c>
      <c r="L81" s="6">
        <v>0</v>
      </c>
      <c r="M81" s="7">
        <f t="shared" si="54"/>
        <v>0</v>
      </c>
      <c r="N81" s="85">
        <f t="shared" si="37"/>
        <v>0</v>
      </c>
      <c r="O81" s="6">
        <v>0</v>
      </c>
      <c r="P81" s="7">
        <f t="shared" si="55"/>
        <v>0</v>
      </c>
      <c r="Q81" s="85">
        <f t="shared" si="38"/>
        <v>0</v>
      </c>
      <c r="R81" s="6">
        <f>VLOOKUP(B81,[8]AKSoftSalesReport!$B$2:$C$93,2,0)</f>
        <v>654160.52000000014</v>
      </c>
      <c r="S81" s="7">
        <f t="shared" si="56"/>
        <v>0.16507058856470119</v>
      </c>
      <c r="T81" s="85">
        <f t="shared" si="39"/>
        <v>883127.64882115135</v>
      </c>
      <c r="U81" s="71">
        <f>VLOOKUP(B81,[9]AKSoftSalesReport!$B$2:$C$94,2,0)</f>
        <v>1258338.07</v>
      </c>
      <c r="V81" s="7">
        <f t="shared" si="57"/>
        <v>0.31752849564854529</v>
      </c>
      <c r="W81" s="85">
        <f t="shared" si="40"/>
        <v>1698777.4517197174</v>
      </c>
      <c r="X81" s="71">
        <f>VLOOKUP(B81,[10]AKSoftSalesReport!$B$2:$C$94,2,0)</f>
        <v>1540363.2200000002</v>
      </c>
      <c r="Y81" s="7">
        <f t="shared" si="58"/>
        <v>0.3886946025553763</v>
      </c>
      <c r="Z81" s="85">
        <f t="shared" si="41"/>
        <v>2079516.1236712632</v>
      </c>
      <c r="AA81" s="71">
        <f>VLOOKUP(B81,[11]AKSoftSalesReport!$B$2:$C$94,2,0)</f>
        <v>510052.03</v>
      </c>
      <c r="AB81" s="7">
        <f t="shared" si="59"/>
        <v>0.12870631323137724</v>
      </c>
      <c r="AC81" s="85">
        <f t="shared" si="42"/>
        <v>688578.77578786819</v>
      </c>
      <c r="AD81" s="51">
        <v>0</v>
      </c>
      <c r="AE81" s="7">
        <f t="shared" si="60"/>
        <v>0</v>
      </c>
      <c r="AF81" s="85">
        <f t="shared" si="43"/>
        <v>0</v>
      </c>
      <c r="AG81" s="154">
        <v>0</v>
      </c>
      <c r="AH81" s="7">
        <f t="shared" si="61"/>
        <v>0</v>
      </c>
      <c r="AI81" s="85">
        <f t="shared" si="44"/>
        <v>0</v>
      </c>
      <c r="AJ81" s="104">
        <v>0</v>
      </c>
      <c r="AK81" s="7">
        <f t="shared" si="62"/>
        <v>0</v>
      </c>
      <c r="AL81" s="85">
        <f t="shared" si="45"/>
        <v>0</v>
      </c>
      <c r="AM81" s="6">
        <f t="shared" si="46"/>
        <v>3962913.8400000003</v>
      </c>
      <c r="AN81" s="155"/>
      <c r="AO81" s="104">
        <v>3962913.8400000003</v>
      </c>
      <c r="AP81" s="87">
        <f t="shared" si="63"/>
        <v>5349933.6840000004</v>
      </c>
      <c r="AQ81" s="237">
        <v>0.35</v>
      </c>
      <c r="AR81" s="3">
        <v>5350000</v>
      </c>
      <c r="AS81" s="240">
        <f t="shared" si="64"/>
        <v>5350000.0000000009</v>
      </c>
      <c r="AT81" s="31">
        <f t="shared" si="33"/>
        <v>0</v>
      </c>
      <c r="AV81" s="253">
        <v>0</v>
      </c>
      <c r="AW81" s="28">
        <f t="shared" si="47"/>
        <v>0</v>
      </c>
      <c r="AX81" s="28">
        <v>0</v>
      </c>
      <c r="AY81" s="79">
        <f t="shared" si="48"/>
        <v>0</v>
      </c>
      <c r="AZ81" s="28">
        <v>0</v>
      </c>
      <c r="BA81" s="28">
        <f t="shared" si="49"/>
        <v>0</v>
      </c>
      <c r="BB81" s="28">
        <v>0</v>
      </c>
      <c r="BC81" s="28">
        <f t="shared" si="50"/>
        <v>0</v>
      </c>
    </row>
    <row r="82" spans="1:55" x14ac:dyDescent="0.3">
      <c r="A82" s="239">
        <v>79</v>
      </c>
      <c r="B82" s="102" t="s">
        <v>224</v>
      </c>
      <c r="C82" s="70">
        <v>0</v>
      </c>
      <c r="D82" s="7">
        <f t="shared" si="51"/>
        <v>0</v>
      </c>
      <c r="E82" s="85">
        <f t="shared" si="34"/>
        <v>0</v>
      </c>
      <c r="F82" s="70">
        <v>0</v>
      </c>
      <c r="G82" s="7">
        <f t="shared" si="52"/>
        <v>0</v>
      </c>
      <c r="H82" s="85">
        <f t="shared" si="35"/>
        <v>0</v>
      </c>
      <c r="I82" s="70">
        <v>0</v>
      </c>
      <c r="J82" s="7">
        <f t="shared" si="53"/>
        <v>0</v>
      </c>
      <c r="K82" s="85">
        <f t="shared" si="36"/>
        <v>0</v>
      </c>
      <c r="L82" s="6">
        <v>0</v>
      </c>
      <c r="M82" s="7">
        <f t="shared" si="54"/>
        <v>0</v>
      </c>
      <c r="N82" s="85">
        <f t="shared" si="37"/>
        <v>0</v>
      </c>
      <c r="O82" s="6">
        <v>0</v>
      </c>
      <c r="P82" s="7">
        <f t="shared" si="55"/>
        <v>0</v>
      </c>
      <c r="Q82" s="85">
        <f t="shared" si="38"/>
        <v>0</v>
      </c>
      <c r="R82" s="6">
        <f>VLOOKUP(B82,[8]AKSoftSalesReport!$B$2:$C$93,2,0)</f>
        <v>404804</v>
      </c>
      <c r="S82" s="7">
        <f t="shared" si="56"/>
        <v>3.440672297790124E-2</v>
      </c>
      <c r="T82" s="85">
        <f t="shared" si="39"/>
        <v>546378.76088907174</v>
      </c>
      <c r="U82" s="71">
        <f>VLOOKUP(B82,[9]AKSoftSalesReport!$B$2:$C$94,2,0)</f>
        <v>2762857</v>
      </c>
      <c r="V82" s="7">
        <f t="shared" si="57"/>
        <v>0.23483180854575372</v>
      </c>
      <c r="W82" s="85">
        <f t="shared" si="40"/>
        <v>3729129.1197065692</v>
      </c>
      <c r="X82" s="71">
        <f>VLOOKUP(B82,[10]AKSoftSalesReport!$B$2:$C$94,2,0)</f>
        <v>3622889.15</v>
      </c>
      <c r="Y82" s="7">
        <f t="shared" si="58"/>
        <v>0.30793110582823807</v>
      </c>
      <c r="Z82" s="85">
        <f t="shared" si="41"/>
        <v>4889945.9605524205</v>
      </c>
      <c r="AA82" s="71">
        <f>VLOOKUP(B82,[11]AKSoftSalesReport!$B$2:$C$94,2,0)</f>
        <v>1388355.07</v>
      </c>
      <c r="AB82" s="7">
        <f t="shared" si="59"/>
        <v>0.11800463505413654</v>
      </c>
      <c r="AC82" s="85">
        <f t="shared" si="42"/>
        <v>1873913.6046596882</v>
      </c>
      <c r="AD82" s="51">
        <f>VLOOKUP(B82,[12]AKSoftSalesReport!$B$2:$C$89,2,0)</f>
        <v>420702</v>
      </c>
      <c r="AE82" s="7">
        <f t="shared" si="60"/>
        <v>3.5757989472063038E-2</v>
      </c>
      <c r="AF82" s="85">
        <f t="shared" si="43"/>
        <v>567836.87281636102</v>
      </c>
      <c r="AG82" s="154">
        <f>VLOOKUP(B82,[13]AKSoftSalesReport!$B$2:$C$90,2,0)</f>
        <v>292031</v>
      </c>
      <c r="AH82" s="7">
        <f t="shared" si="61"/>
        <v>2.482146845870959E-2</v>
      </c>
      <c r="AI82" s="85">
        <f t="shared" si="44"/>
        <v>394164.91912430828</v>
      </c>
      <c r="AJ82" s="104">
        <f>VLOOKUP(B82,[14]AKSoftSalesReport!$A:$D,4,0)</f>
        <v>299424.57142857142</v>
      </c>
      <c r="AK82" s="7">
        <f t="shared" si="62"/>
        <v>2.544989249592311E-2</v>
      </c>
      <c r="AL82" s="85">
        <f t="shared" si="45"/>
        <v>404144.292835259</v>
      </c>
      <c r="AM82" s="6">
        <f t="shared" si="46"/>
        <v>9191062.7914285716</v>
      </c>
      <c r="AN82" s="155">
        <f>AM82-404804</f>
        <v>8786258.7914285716</v>
      </c>
      <c r="AO82" s="101">
        <f>AN82+2979000</f>
        <v>11765258.791428572</v>
      </c>
      <c r="AP82" s="87">
        <f t="shared" si="63"/>
        <v>15883099.368428571</v>
      </c>
      <c r="AQ82" s="237">
        <v>0.35</v>
      </c>
      <c r="AR82" s="3">
        <v>15880000</v>
      </c>
      <c r="AS82" s="240">
        <f t="shared" si="64"/>
        <v>12405513.53058368</v>
      </c>
      <c r="AT82" s="31">
        <f t="shared" si="33"/>
        <v>-3474486.4694163203</v>
      </c>
      <c r="AV82" s="253">
        <v>0</v>
      </c>
      <c r="AW82" s="28">
        <f t="shared" si="47"/>
        <v>0</v>
      </c>
      <c r="AX82" s="28">
        <v>0</v>
      </c>
      <c r="AY82" s="79">
        <f t="shared" si="48"/>
        <v>0</v>
      </c>
      <c r="AZ82" s="28">
        <v>0</v>
      </c>
      <c r="BA82" s="28">
        <f t="shared" si="49"/>
        <v>0</v>
      </c>
      <c r="BB82" s="28">
        <v>0</v>
      </c>
      <c r="BC82" s="28">
        <f t="shared" si="50"/>
        <v>0</v>
      </c>
    </row>
    <row r="83" spans="1:55" x14ac:dyDescent="0.3">
      <c r="A83" s="61">
        <v>80</v>
      </c>
      <c r="B83" s="106" t="s">
        <v>255</v>
      </c>
      <c r="C83" s="70">
        <v>0</v>
      </c>
      <c r="D83" s="7">
        <f t="shared" si="51"/>
        <v>0</v>
      </c>
      <c r="E83" s="85">
        <f t="shared" si="34"/>
        <v>0</v>
      </c>
      <c r="F83" s="70">
        <v>0</v>
      </c>
      <c r="G83" s="7">
        <f t="shared" si="52"/>
        <v>0</v>
      </c>
      <c r="H83" s="85">
        <f t="shared" si="35"/>
        <v>0</v>
      </c>
      <c r="I83" s="70">
        <v>0</v>
      </c>
      <c r="J83" s="7">
        <f t="shared" si="53"/>
        <v>0</v>
      </c>
      <c r="K83" s="85">
        <f t="shared" si="36"/>
        <v>0</v>
      </c>
      <c r="L83" s="6">
        <v>0</v>
      </c>
      <c r="M83" s="7">
        <f t="shared" si="54"/>
        <v>0</v>
      </c>
      <c r="N83" s="85">
        <f t="shared" si="37"/>
        <v>0</v>
      </c>
      <c r="O83" s="6">
        <v>0</v>
      </c>
      <c r="P83" s="7">
        <f t="shared" si="55"/>
        <v>0</v>
      </c>
      <c r="Q83" s="85">
        <f t="shared" si="38"/>
        <v>0</v>
      </c>
      <c r="R83" s="6"/>
      <c r="S83" s="7">
        <f t="shared" si="56"/>
        <v>0</v>
      </c>
      <c r="T83" s="85">
        <f t="shared" si="39"/>
        <v>0</v>
      </c>
      <c r="U83" s="71"/>
      <c r="V83" s="7">
        <f t="shared" si="57"/>
        <v>0</v>
      </c>
      <c r="W83" s="85">
        <f t="shared" si="40"/>
        <v>0</v>
      </c>
      <c r="X83" s="71">
        <f>VLOOKUP(B83,[10]AKSoftSalesReport!$B$2:$C$94,2,0)</f>
        <v>170953</v>
      </c>
      <c r="Y83" s="7">
        <f t="shared" si="58"/>
        <v>0.40107404783243167</v>
      </c>
      <c r="Z83" s="85">
        <f t="shared" si="41"/>
        <v>230617.57750364821</v>
      </c>
      <c r="AA83" s="71">
        <f>VLOOKUP(B83,[11]AKSoftSalesReport!$B$2:$C$94,2,0)</f>
        <v>25285</v>
      </c>
      <c r="AB83" s="7">
        <f t="shared" si="59"/>
        <v>5.9321318136815585E-2</v>
      </c>
      <c r="AC83" s="85">
        <f t="shared" si="42"/>
        <v>34109.757928668958</v>
      </c>
      <c r="AD83" s="51">
        <v>0</v>
      </c>
      <c r="AE83" s="7">
        <f t="shared" si="60"/>
        <v>0</v>
      </c>
      <c r="AF83" s="85">
        <f t="shared" si="43"/>
        <v>0</v>
      </c>
      <c r="AG83" s="154">
        <v>0</v>
      </c>
      <c r="AH83" s="7">
        <f t="shared" si="61"/>
        <v>0</v>
      </c>
      <c r="AI83" s="85">
        <f t="shared" si="44"/>
        <v>0</v>
      </c>
      <c r="AJ83" s="104">
        <v>0</v>
      </c>
      <c r="AK83" s="7">
        <f t="shared" si="62"/>
        <v>0</v>
      </c>
      <c r="AL83" s="85">
        <f t="shared" si="45"/>
        <v>0</v>
      </c>
      <c r="AM83" s="6">
        <f t="shared" si="46"/>
        <v>196238</v>
      </c>
      <c r="AN83" s="155"/>
      <c r="AO83" s="101">
        <v>426238</v>
      </c>
      <c r="AP83" s="87">
        <f t="shared" si="63"/>
        <v>575421.30000000005</v>
      </c>
      <c r="AQ83" s="237">
        <v>0.35</v>
      </c>
      <c r="AR83" s="3">
        <v>575000</v>
      </c>
      <c r="AS83" s="240">
        <f t="shared" si="64"/>
        <v>264727.33543231717</v>
      </c>
      <c r="AT83" s="31">
        <f t="shared" si="33"/>
        <v>-310272.66456768283</v>
      </c>
      <c r="AV83" s="253">
        <v>0</v>
      </c>
      <c r="AW83" s="28">
        <f t="shared" si="47"/>
        <v>0</v>
      </c>
      <c r="AX83" s="28">
        <v>0</v>
      </c>
      <c r="AY83" s="79">
        <f t="shared" si="48"/>
        <v>0</v>
      </c>
      <c r="AZ83" s="28">
        <v>0</v>
      </c>
      <c r="BA83" s="28">
        <f t="shared" si="49"/>
        <v>0</v>
      </c>
      <c r="BB83" s="28">
        <v>0</v>
      </c>
      <c r="BC83" s="28">
        <f t="shared" si="50"/>
        <v>0</v>
      </c>
    </row>
    <row r="84" spans="1:55" ht="17.25" customHeight="1" x14ac:dyDescent="0.3">
      <c r="A84" s="239">
        <v>81</v>
      </c>
      <c r="B84" s="89" t="s">
        <v>20</v>
      </c>
      <c r="C84" s="70">
        <f>VLOOKUP(B84,[3]AKSoftSalesReport!$B$2:$C$87,2,0)</f>
        <v>1912591.01</v>
      </c>
      <c r="D84" s="7">
        <f t="shared" si="51"/>
        <v>7.9338592629538157E-2</v>
      </c>
      <c r="E84" s="85">
        <f t="shared" si="34"/>
        <v>2256786.2673472129</v>
      </c>
      <c r="F84" s="70">
        <f>VLOOKUP(B84,[4]AKSoftSalesReport!$B$2:$C$87,2,0)</f>
        <v>1861018</v>
      </c>
      <c r="G84" s="7">
        <f t="shared" si="52"/>
        <v>7.7199227752428809E-2</v>
      </c>
      <c r="H84" s="85">
        <f t="shared" si="35"/>
        <v>2195932.0334178377</v>
      </c>
      <c r="I84" s="70">
        <f>VLOOKUP(B84,[5]AKSoftSalesReport!$B$2:$C$87,2,0)</f>
        <v>1029107</v>
      </c>
      <c r="J84" s="7">
        <f t="shared" si="53"/>
        <v>4.2689681494009597E-2</v>
      </c>
      <c r="K84" s="85">
        <f t="shared" si="36"/>
        <v>1214307.9900971029</v>
      </c>
      <c r="L84" s="6">
        <f>VLOOKUP(B84,[6]AKSoftSalesReport!$B$2:$C$87,2,0)</f>
        <v>1966069</v>
      </c>
      <c r="M84" s="7">
        <f t="shared" si="54"/>
        <v>8.1556980377400945E-2</v>
      </c>
      <c r="N84" s="85">
        <f t="shared" si="37"/>
        <v>2319888.3068351699</v>
      </c>
      <c r="O84" s="6">
        <f>VLOOKUP(B84,[7]AKSoftSalesReport!$B$2:$C$89,2,0)</f>
        <v>2113557.2700000005</v>
      </c>
      <c r="P84" s="7">
        <f t="shared" si="55"/>
        <v>8.767512676101559E-2</v>
      </c>
      <c r="Q84" s="85">
        <f t="shared" si="38"/>
        <v>2493918.9807170886</v>
      </c>
      <c r="R84" s="6">
        <f>VLOOKUP(B84,[8]AKSoftSalesReport!$B$2:$C$93,2,0)</f>
        <v>2067003</v>
      </c>
      <c r="S84" s="7">
        <f t="shared" si="56"/>
        <v>8.5743950548545791E-2</v>
      </c>
      <c r="T84" s="85">
        <f t="shared" si="39"/>
        <v>2438986.6733533852</v>
      </c>
      <c r="U84" s="71">
        <f>VLOOKUP(B84,[9]AKSoftSalesReport!$B$2:$C$94,2,0)</f>
        <v>2186370</v>
      </c>
      <c r="V84" s="7">
        <f t="shared" si="57"/>
        <v>9.0695563170844012E-2</v>
      </c>
      <c r="W84" s="85">
        <f t="shared" si="40"/>
        <v>2579835.2943946579</v>
      </c>
      <c r="X84" s="71">
        <f>VLOOKUP(B84,[10]AKSoftSalesReport!$B$2:$C$94,2,0)</f>
        <v>2217932</v>
      </c>
      <c r="Y84" s="7">
        <f t="shared" si="58"/>
        <v>9.2004826179757498E-2</v>
      </c>
      <c r="Z84" s="85">
        <f t="shared" si="41"/>
        <v>2617077.2806832022</v>
      </c>
      <c r="AA84" s="71">
        <f>VLOOKUP(B84,[11]AKSoftSalesReport!$B$2:$C$94,2,0)</f>
        <v>2196572</v>
      </c>
      <c r="AB84" s="7">
        <f t="shared" si="59"/>
        <v>9.111876516111507E-2</v>
      </c>
      <c r="AC84" s="85">
        <f t="shared" si="42"/>
        <v>2591873.275007918</v>
      </c>
      <c r="AD84" s="51">
        <f>VLOOKUP(B84,[12]AKSoftSalesReport!$B$2:$C$89,2,0)</f>
        <v>2238091.0700000003</v>
      </c>
      <c r="AE84" s="7">
        <f t="shared" si="60"/>
        <v>9.2841069910988019E-2</v>
      </c>
      <c r="AF84" s="85">
        <f t="shared" si="43"/>
        <v>2640864.2336180541</v>
      </c>
      <c r="AG84" s="154">
        <f>VLOOKUP(B84,[13]AKSoftSalesReport!$B$2:$C$90,2,0)</f>
        <v>2118998</v>
      </c>
      <c r="AH84" s="7">
        <f t="shared" si="61"/>
        <v>8.7900820523466802E-2</v>
      </c>
      <c r="AI84" s="85">
        <f t="shared" si="44"/>
        <v>2500338.8397900132</v>
      </c>
      <c r="AJ84" s="104">
        <f>VLOOKUP(B84,[14]AKSoftSalesReport!$A:$D,4,0)</f>
        <v>2199383.5714285714</v>
      </c>
      <c r="AK84" s="7">
        <f t="shared" si="62"/>
        <v>9.1235395490889687E-2</v>
      </c>
      <c r="AL84" s="85">
        <f t="shared" si="45"/>
        <v>2595190.8247383572</v>
      </c>
      <c r="AM84" s="6">
        <f t="shared" si="46"/>
        <v>24106691.921428572</v>
      </c>
      <c r="AN84" s="155"/>
      <c r="AO84" s="73">
        <v>24106691.921428572</v>
      </c>
      <c r="AP84" s="87">
        <f t="shared" si="63"/>
        <v>28445896.467285715</v>
      </c>
      <c r="AQ84" s="237">
        <v>0.18</v>
      </c>
      <c r="AR84" s="25">
        <v>28445000</v>
      </c>
      <c r="AS84" s="240">
        <f t="shared" si="64"/>
        <v>28445000</v>
      </c>
      <c r="AT84" s="31">
        <f t="shared" si="33"/>
        <v>0</v>
      </c>
      <c r="AV84" s="253">
        <f>VLOOKUP(B84,[17]AKSoftSalesReport!$A:$B,2,0)</f>
        <v>684352.5</v>
      </c>
      <c r="AW84" s="28">
        <f t="shared" si="47"/>
        <v>1176665.5</v>
      </c>
      <c r="AX84" s="28">
        <f>VLOOKUP(B84,[18]AKSoftSalesReport!$A:$B,2,0)</f>
        <v>294283</v>
      </c>
      <c r="AY84" s="79">
        <f t="shared" si="48"/>
        <v>1470948.5</v>
      </c>
      <c r="AZ84" s="28">
        <v>294283</v>
      </c>
      <c r="BA84" s="28">
        <f t="shared" si="49"/>
        <v>734824</v>
      </c>
      <c r="BB84" s="28">
        <f>VLOOKUP(B84,[19]AKSoftSalesReport!$A:$B,2,0)</f>
        <v>661660</v>
      </c>
      <c r="BC84" s="28">
        <f t="shared" si="50"/>
        <v>1396484</v>
      </c>
    </row>
    <row r="85" spans="1:55" x14ac:dyDescent="0.3">
      <c r="A85" s="61">
        <v>82</v>
      </c>
      <c r="B85" s="90" t="s">
        <v>89</v>
      </c>
      <c r="C85" s="70">
        <f>VLOOKUP(B85,[3]AKSoftSalesReport!$B$2:$C$87,2,0)</f>
        <v>2664928.6599999955</v>
      </c>
      <c r="D85" s="7">
        <f t="shared" si="51"/>
        <v>6.6287097149031082E-2</v>
      </c>
      <c r="E85" s="85">
        <f t="shared" si="34"/>
        <v>3464163.6970083644</v>
      </c>
      <c r="F85" s="70">
        <f>VLOOKUP(B85,[4]AKSoftSalesReport!$B$2:$C$87,2,0)</f>
        <v>2372651.5</v>
      </c>
      <c r="G85" s="7">
        <f t="shared" si="52"/>
        <v>5.9017032178750553E-2</v>
      </c>
      <c r="H85" s="85">
        <f t="shared" si="35"/>
        <v>3084230.1016615038</v>
      </c>
      <c r="I85" s="70">
        <f>VLOOKUP(B85,[5]AKSoftSalesReport!$B$2:$C$87,2,0)</f>
        <v>1458385.5</v>
      </c>
      <c r="J85" s="7">
        <f t="shared" si="53"/>
        <v>3.6275695770121831E-2</v>
      </c>
      <c r="K85" s="85">
        <f t="shared" si="36"/>
        <v>1895767.8609465668</v>
      </c>
      <c r="L85" s="6">
        <f>VLOOKUP(B85,[6]AKSoftSalesReport!$B$2:$C$87,2,0)</f>
        <v>2550638.7599999974</v>
      </c>
      <c r="M85" s="7">
        <f t="shared" si="54"/>
        <v>6.3444264686696825E-2</v>
      </c>
      <c r="N85" s="85">
        <f t="shared" si="37"/>
        <v>3315597.272526776</v>
      </c>
      <c r="O85" s="6">
        <f>VLOOKUP(B85,[7]AKSoftSalesReport!$B$2:$C$89,2,0)</f>
        <v>2632475.6199999833</v>
      </c>
      <c r="P85" s="7">
        <f t="shared" si="55"/>
        <v>6.5479864352314412E-2</v>
      </c>
      <c r="Q85" s="85">
        <f t="shared" si="38"/>
        <v>3421977.7110519512</v>
      </c>
      <c r="R85" s="6">
        <f>VLOOKUP(B85,[8]AKSoftSalesReport!$B$2:$C$93,2,0)</f>
        <v>3742073.3199999984</v>
      </c>
      <c r="S85" s="7">
        <f t="shared" si="56"/>
        <v>9.3079856667396724E-2</v>
      </c>
      <c r="T85" s="85">
        <f t="shared" si="39"/>
        <v>4864353.3094381532</v>
      </c>
      <c r="U85" s="71">
        <f>VLOOKUP(B85,[9]AKSoftSalesReport!$B$2:$C$94,2,0)</f>
        <v>3221535.439999992</v>
      </c>
      <c r="V85" s="7">
        <f t="shared" si="57"/>
        <v>8.0132063527856859E-2</v>
      </c>
      <c r="W85" s="85">
        <f t="shared" si="40"/>
        <v>4187701.6399657996</v>
      </c>
      <c r="X85" s="71">
        <f>VLOOKUP(B85,[10]AKSoftSalesReport!$B$2:$C$94,2,0)</f>
        <v>4318853.1499999855</v>
      </c>
      <c r="Y85" s="7">
        <f t="shared" si="58"/>
        <v>0.10742660493074829</v>
      </c>
      <c r="Z85" s="85">
        <f t="shared" si="41"/>
        <v>5614114.3736809054</v>
      </c>
      <c r="AA85" s="71">
        <f>VLOOKUP(B85,[11]AKSoftSalesReport!$B$2:$C$94,2,0)</f>
        <v>4643698.08</v>
      </c>
      <c r="AB85" s="7">
        <f t="shared" si="59"/>
        <v>0.11550675647719953</v>
      </c>
      <c r="AC85" s="85">
        <f t="shared" si="42"/>
        <v>6036383.0934984479</v>
      </c>
      <c r="AD85" s="51">
        <f>VLOOKUP(B85,[12]AKSoftSalesReport!$B$2:$C$89,2,0)</f>
        <v>4475863.1899999995</v>
      </c>
      <c r="AE85" s="7">
        <f t="shared" si="60"/>
        <v>0.1113320527316865</v>
      </c>
      <c r="AF85" s="85">
        <f t="shared" si="43"/>
        <v>5818213.0757579366</v>
      </c>
      <c r="AG85" s="154">
        <f>VLOOKUP(B85,[13]AKSoftSalesReport!$B$2:$C$90,2,0)</f>
        <v>4782810</v>
      </c>
      <c r="AH85" s="7">
        <f t="shared" si="61"/>
        <v>0.11896700871360583</v>
      </c>
      <c r="AI85" s="85">
        <f t="shared" si="44"/>
        <v>6217215.8753730403</v>
      </c>
      <c r="AJ85" s="104">
        <f>VLOOKUP(B85,[14]AKSoftSalesReport!$A:$D,4,0)</f>
        <v>3338913.1914285719</v>
      </c>
      <c r="AK85" s="7">
        <f t="shared" si="62"/>
        <v>8.3051702814591497E-2</v>
      </c>
      <c r="AL85" s="85">
        <f t="shared" si="45"/>
        <v>4340281.9890905516</v>
      </c>
      <c r="AM85" s="6">
        <f t="shared" si="46"/>
        <v>40202826.411428526</v>
      </c>
      <c r="AN85" s="155"/>
      <c r="AO85" s="73">
        <v>40202826.411428526</v>
      </c>
      <c r="AP85" s="87">
        <f t="shared" si="63"/>
        <v>52263674.334857084</v>
      </c>
      <c r="AQ85" s="237">
        <v>0.3</v>
      </c>
      <c r="AR85" s="1">
        <v>52260000</v>
      </c>
      <c r="AS85" s="240">
        <f t="shared" si="64"/>
        <v>52260000</v>
      </c>
      <c r="AT85" s="31">
        <f t="shared" si="33"/>
        <v>0</v>
      </c>
      <c r="AV85" s="253">
        <f>VLOOKUP(B85,[17]AKSoftSalesReport!$A:$B,2,0)</f>
        <v>867991</v>
      </c>
      <c r="AW85" s="28">
        <f t="shared" si="47"/>
        <v>1504660.5</v>
      </c>
      <c r="AX85" s="28">
        <f>VLOOKUP(B85,[18]AKSoftSalesReport!$A:$B,2,0)</f>
        <v>335046.5</v>
      </c>
      <c r="AY85" s="79">
        <f t="shared" si="48"/>
        <v>1839707</v>
      </c>
      <c r="AZ85" s="28">
        <v>335046.5</v>
      </c>
      <c r="BA85" s="28">
        <f t="shared" si="49"/>
        <v>1123339</v>
      </c>
      <c r="BB85" s="28">
        <f>VLOOKUP(B85,[19]AKSoftSalesReport!$A:$B,2,0)</f>
        <v>882670</v>
      </c>
      <c r="BC85" s="28">
        <f t="shared" si="50"/>
        <v>2006009</v>
      </c>
    </row>
    <row r="86" spans="1:55" x14ac:dyDescent="0.3">
      <c r="A86" s="239">
        <v>83</v>
      </c>
      <c r="B86" s="89" t="s">
        <v>122</v>
      </c>
      <c r="C86" s="70">
        <f>VLOOKUP(B86,[3]AKSoftSalesReport!$B$2:$C$87,2,0)</f>
        <v>1316282.4200000009</v>
      </c>
      <c r="D86" s="7">
        <f t="shared" si="51"/>
        <v>7.3312941103399587E-2</v>
      </c>
      <c r="E86" s="85">
        <f t="shared" si="34"/>
        <v>1711124.0453533463</v>
      </c>
      <c r="F86" s="70">
        <f>VLOOKUP(B86,[4]AKSoftSalesReport!$B$2:$C$87,2,0)</f>
        <v>1292054.25</v>
      </c>
      <c r="G86" s="7">
        <f t="shared" si="52"/>
        <v>7.1963505470693023E-2</v>
      </c>
      <c r="H86" s="85">
        <f t="shared" si="35"/>
        <v>1679628.2176859751</v>
      </c>
      <c r="I86" s="70">
        <f>VLOOKUP(B86,[5]AKSoftSalesReport!$B$2:$C$87,2,0)</f>
        <v>1264262</v>
      </c>
      <c r="J86" s="7">
        <f t="shared" si="53"/>
        <v>7.0415561384817485E-2</v>
      </c>
      <c r="K86" s="85">
        <f t="shared" si="36"/>
        <v>1643499.20272164</v>
      </c>
      <c r="L86" s="6">
        <f>VLOOKUP(B86,[6]AKSoftSalesReport!$B$2:$C$87,2,0)</f>
        <v>1393287</v>
      </c>
      <c r="M86" s="7">
        <f t="shared" si="54"/>
        <v>7.7601862806260247E-2</v>
      </c>
      <c r="N86" s="85">
        <f t="shared" si="37"/>
        <v>1811227.4778981141</v>
      </c>
      <c r="O86" s="6">
        <f>VLOOKUP(B86,[7]AKSoftSalesReport!$B$2:$C$89,2,0)</f>
        <v>1511428</v>
      </c>
      <c r="P86" s="7">
        <f t="shared" si="55"/>
        <v>8.4181958417426067E-2</v>
      </c>
      <c r="Q86" s="85">
        <f t="shared" si="38"/>
        <v>1964806.9094627243</v>
      </c>
      <c r="R86" s="6">
        <f>VLOOKUP(B86,[8]AKSoftSalesReport!$B$2:$C$93,2,0)</f>
        <v>1700232</v>
      </c>
      <c r="S86" s="7">
        <f t="shared" si="56"/>
        <v>9.4697768946967478E-2</v>
      </c>
      <c r="T86" s="85">
        <f t="shared" si="39"/>
        <v>2210245.9272222212</v>
      </c>
      <c r="U86" s="71">
        <f>VLOOKUP(B86,[9]AKSoftSalesReport!$B$2:$C$94,2,0)</f>
        <v>1669898</v>
      </c>
      <c r="V86" s="7">
        <f t="shared" si="57"/>
        <v>9.3008257090210683E-2</v>
      </c>
      <c r="W86" s="85">
        <f t="shared" si="40"/>
        <v>2170812.7204855173</v>
      </c>
      <c r="X86" s="71">
        <f>VLOOKUP(B86,[10]AKSoftSalesReport!$B$2:$C$94,2,0)</f>
        <v>1832527</v>
      </c>
      <c r="Y86" s="7">
        <f t="shared" si="58"/>
        <v>0.10206619945694438</v>
      </c>
      <c r="Z86" s="85">
        <f t="shared" si="41"/>
        <v>2382225.0953250821</v>
      </c>
      <c r="AA86" s="71">
        <f>VLOOKUP(B86,[11]AKSoftSalesReport!$B$2:$C$94,2,0)</f>
        <v>1559808</v>
      </c>
      <c r="AB86" s="7">
        <f t="shared" si="59"/>
        <v>8.6876577776227856E-2</v>
      </c>
      <c r="AC86" s="85">
        <f t="shared" si="42"/>
        <v>2027699.3252971582</v>
      </c>
      <c r="AD86" s="51">
        <f>VLOOKUP(B86,[12]AKSoftSalesReport!$B$2:$C$89,2,0)</f>
        <v>1391032</v>
      </c>
      <c r="AE86" s="7">
        <f t="shared" si="60"/>
        <v>7.7476266141231348E-2</v>
      </c>
      <c r="AF86" s="85">
        <f t="shared" si="43"/>
        <v>1808296.0517363397</v>
      </c>
      <c r="AG86" s="154">
        <f>VLOOKUP(B86,[13]AKSoftSalesReport!$B$2:$C$90,2,0)</f>
        <v>1446531</v>
      </c>
      <c r="AH86" s="7">
        <f t="shared" si="61"/>
        <v>8.056739222213545E-2</v>
      </c>
      <c r="AI86" s="85">
        <f t="shared" si="44"/>
        <v>1880442.9344646414</v>
      </c>
      <c r="AJ86" s="104">
        <f>VLOOKUP(B86,[14]AKSoftSalesReport!$A:$D,4,0)</f>
        <v>1576956.7142857143</v>
      </c>
      <c r="AK86" s="7">
        <f t="shared" si="62"/>
        <v>8.7831709183686449E-2</v>
      </c>
      <c r="AL86" s="85">
        <f t="shared" si="45"/>
        <v>2049992.0923472417</v>
      </c>
      <c r="AM86" s="6">
        <f t="shared" si="46"/>
        <v>17954298.384285714</v>
      </c>
      <c r="AN86" s="155"/>
      <c r="AO86" s="73">
        <v>17954298.384285714</v>
      </c>
      <c r="AP86" s="87">
        <f t="shared" si="63"/>
        <v>23340587.89957143</v>
      </c>
      <c r="AQ86" s="237">
        <v>0.3</v>
      </c>
      <c r="AR86" s="1">
        <v>23340000</v>
      </c>
      <c r="AS86" s="240">
        <f t="shared" si="64"/>
        <v>23340000</v>
      </c>
      <c r="AT86" s="31">
        <f t="shared" si="33"/>
        <v>0</v>
      </c>
      <c r="AV86" s="253">
        <f>VLOOKUP(B86,[17]AKSoftSalesReport!$A:$B,2,0)</f>
        <v>445875.5</v>
      </c>
      <c r="AW86" s="28">
        <f t="shared" si="47"/>
        <v>846178.75</v>
      </c>
      <c r="AX86" s="28">
        <f>VLOOKUP(B86,[18]AKSoftSalesReport!$A:$B,2,0)</f>
        <v>355608</v>
      </c>
      <c r="AY86" s="79">
        <f t="shared" si="48"/>
        <v>1201786.75</v>
      </c>
      <c r="AZ86" s="28">
        <v>355608</v>
      </c>
      <c r="BA86" s="28">
        <f t="shared" si="49"/>
        <v>908654</v>
      </c>
      <c r="BB86" s="28">
        <f>VLOOKUP(B86,[19]AKSoftSalesReport!$A:$B,2,0)</f>
        <v>433253</v>
      </c>
      <c r="BC86" s="28">
        <f t="shared" si="50"/>
        <v>1341907</v>
      </c>
    </row>
    <row r="87" spans="1:55" x14ac:dyDescent="0.3">
      <c r="A87" s="61">
        <v>84</v>
      </c>
      <c r="B87" s="90" t="s">
        <v>102</v>
      </c>
      <c r="C87" s="70">
        <f>VLOOKUP(B87,[3]AKSoftSalesReport!$B$2:$C$87,2,0)</f>
        <v>835786.47000000149</v>
      </c>
      <c r="D87" s="7">
        <f t="shared" si="51"/>
        <v>7.3916091131992392E-2</v>
      </c>
      <c r="E87" s="85">
        <f t="shared" si="34"/>
        <v>1128329.1311298639</v>
      </c>
      <c r="F87" s="70">
        <f>VLOOKUP(B87,[4]AKSoftSalesReport!$B$2:$C$87,2,0)</f>
        <v>659628.03</v>
      </c>
      <c r="G87" s="7">
        <f t="shared" si="52"/>
        <v>5.8336820861309861E-2</v>
      </c>
      <c r="H87" s="85">
        <f t="shared" si="35"/>
        <v>890511.57044789498</v>
      </c>
      <c r="I87" s="70">
        <f>VLOOKUP(B87,[5]AKSoftSalesReport!$B$2:$C$87,2,0)</f>
        <v>439691.39</v>
      </c>
      <c r="J87" s="7">
        <f t="shared" si="53"/>
        <v>3.8885851853036515E-2</v>
      </c>
      <c r="K87" s="85">
        <f t="shared" si="36"/>
        <v>593592.52853660239</v>
      </c>
      <c r="L87" s="6">
        <f>VLOOKUP(B87,[6]AKSoftSalesReport!$B$2:$C$87,2,0)</f>
        <v>878242.47</v>
      </c>
      <c r="M87" s="7">
        <f t="shared" si="54"/>
        <v>7.7670855868851252E-2</v>
      </c>
      <c r="N87" s="85">
        <f t="shared" si="37"/>
        <v>1185645.6148380144</v>
      </c>
      <c r="O87" s="6">
        <f>VLOOKUP(B87,[7]AKSoftSalesReport!$B$2:$C$89,2,0)</f>
        <v>986508.17000000179</v>
      </c>
      <c r="P87" s="7">
        <f t="shared" si="55"/>
        <v>8.7245762420843018E-2</v>
      </c>
      <c r="Q87" s="85">
        <f t="shared" si="38"/>
        <v>1331806.5633541686</v>
      </c>
      <c r="R87" s="6">
        <f>VLOOKUP(B87,[8]AKSoftSalesReport!$B$2:$C$93,2,0)</f>
        <v>1030567.6000000027</v>
      </c>
      <c r="S87" s="7">
        <f t="shared" si="56"/>
        <v>9.1142332848818119E-2</v>
      </c>
      <c r="T87" s="85">
        <f t="shared" si="39"/>
        <v>1391287.7109372085</v>
      </c>
      <c r="U87" s="71">
        <f>VLOOKUP(B87,[9]AKSoftSalesReport!$B$2:$C$94,2,0)</f>
        <v>1247736</v>
      </c>
      <c r="V87" s="7">
        <f t="shared" si="57"/>
        <v>0.11034848157408852</v>
      </c>
      <c r="W87" s="85">
        <f t="shared" si="40"/>
        <v>1684469.5712284613</v>
      </c>
      <c r="X87" s="71">
        <f>VLOOKUP(B87,[10]AKSoftSalesReport!$B$2:$C$94,2,0)</f>
        <v>1354258.2600000002</v>
      </c>
      <c r="Y87" s="7">
        <f t="shared" si="58"/>
        <v>0.11976920009534646</v>
      </c>
      <c r="Z87" s="85">
        <f t="shared" si="41"/>
        <v>1828276.8394554637</v>
      </c>
      <c r="AA87" s="71">
        <f>VLOOKUP(B87,[11]AKSoftSalesReport!$B$2:$C$94,2,0)</f>
        <v>1045536.2300000002</v>
      </c>
      <c r="AB87" s="7">
        <f t="shared" si="59"/>
        <v>9.2466143007172194E-2</v>
      </c>
      <c r="AC87" s="85">
        <f t="shared" si="42"/>
        <v>1411495.6730044836</v>
      </c>
      <c r="AD87" s="51">
        <f>VLOOKUP(B87,[12]AKSoftSalesReport!$B$2:$C$89,2,0)</f>
        <v>1063043.1900000009</v>
      </c>
      <c r="AE87" s="7">
        <f t="shared" si="60"/>
        <v>9.4014440445875883E-2</v>
      </c>
      <c r="AF87" s="85">
        <f t="shared" si="43"/>
        <v>1435130.4334062953</v>
      </c>
      <c r="AG87" s="154">
        <f>VLOOKUP(B87,[13]AKSoftSalesReport!$B$2:$C$90,2,0)</f>
        <v>864809</v>
      </c>
      <c r="AH87" s="7">
        <f t="shared" si="61"/>
        <v>7.6482813673410019E-2</v>
      </c>
      <c r="AI87" s="85">
        <f t="shared" si="44"/>
        <v>1167510.150724604</v>
      </c>
      <c r="AJ87" s="104">
        <f>VLOOKUP(B87,[14]AKSoftSalesReport!$A:$D,4,0)</f>
        <v>901426.25928571483</v>
      </c>
      <c r="AK87" s="7">
        <f t="shared" si="62"/>
        <v>7.9721206219255714E-2</v>
      </c>
      <c r="AL87" s="85">
        <f t="shared" si="45"/>
        <v>1216944.2129369385</v>
      </c>
      <c r="AM87" s="6">
        <f t="shared" si="46"/>
        <v>11307233.069285722</v>
      </c>
      <c r="AN87" s="155"/>
      <c r="AO87" s="73">
        <v>11307233.069285722</v>
      </c>
      <c r="AP87" s="87">
        <f t="shared" si="63"/>
        <v>15264764.643535726</v>
      </c>
      <c r="AQ87" s="237">
        <v>0.35</v>
      </c>
      <c r="AR87" s="1">
        <v>15265000</v>
      </c>
      <c r="AS87" s="240">
        <f t="shared" si="64"/>
        <v>15265000</v>
      </c>
      <c r="AT87" s="31">
        <f t="shared" si="33"/>
        <v>0</v>
      </c>
      <c r="AV87" s="253">
        <f>VLOOKUP(B87,[17]AKSoftSalesReport!$A:$B,2,0)</f>
        <v>193441</v>
      </c>
      <c r="AW87" s="28">
        <f t="shared" si="47"/>
        <v>466187.03</v>
      </c>
      <c r="AX87" s="28">
        <f>VLOOKUP(B87,[18]AKSoftSalesReport!$A:$B,2,0)</f>
        <v>125190</v>
      </c>
      <c r="AY87" s="79">
        <f t="shared" si="48"/>
        <v>591377.03</v>
      </c>
      <c r="AZ87" s="28">
        <v>125190</v>
      </c>
      <c r="BA87" s="28">
        <f t="shared" si="49"/>
        <v>314501.39</v>
      </c>
      <c r="BB87" s="28">
        <f>VLOOKUP(B87,[19]AKSoftSalesReport!$A:$B,2,0)</f>
        <v>268545.5</v>
      </c>
      <c r="BC87" s="28">
        <f t="shared" si="50"/>
        <v>583046.89</v>
      </c>
    </row>
    <row r="88" spans="1:55" x14ac:dyDescent="0.3">
      <c r="A88" s="239">
        <v>85</v>
      </c>
      <c r="B88" s="89" t="s">
        <v>19</v>
      </c>
      <c r="C88" s="70">
        <f>VLOOKUP(B88,[3]AKSoftSalesReport!$B$2:$C$87,2,0)</f>
        <v>1012869.0700000041</v>
      </c>
      <c r="D88" s="7">
        <f t="shared" si="51"/>
        <v>4.8407759508230425E-2</v>
      </c>
      <c r="E88" s="85">
        <f t="shared" si="34"/>
        <v>1316691.0586238676</v>
      </c>
      <c r="F88" s="70">
        <f>VLOOKUP(B88,[4]AKSoftSalesReport!$B$2:$C$87,2,0)</f>
        <v>1004214</v>
      </c>
      <c r="G88" s="7">
        <f t="shared" si="52"/>
        <v>4.7994110242499465E-2</v>
      </c>
      <c r="H88" s="85">
        <f t="shared" si="35"/>
        <v>1305439.7985959854</v>
      </c>
      <c r="I88" s="70">
        <f>VLOOKUP(B88,[5]AKSoftSalesReport!$B$2:$C$87,2,0)</f>
        <v>422894</v>
      </c>
      <c r="J88" s="7">
        <f t="shared" si="53"/>
        <v>2.0211251044987989E-2</v>
      </c>
      <c r="K88" s="85">
        <f t="shared" si="36"/>
        <v>549746.02842367324</v>
      </c>
      <c r="L88" s="6">
        <f>VLOOKUP(B88,[6]AKSoftSalesReport!$B$2:$C$87,2,0)</f>
        <v>2409406</v>
      </c>
      <c r="M88" s="7">
        <f t="shared" si="54"/>
        <v>0.11515204645916076</v>
      </c>
      <c r="N88" s="85">
        <f t="shared" si="37"/>
        <v>3132135.6636891728</v>
      </c>
      <c r="O88" s="6">
        <f>VLOOKUP(B88,[7]AKSoftSalesReport!$B$2:$C$89,2,0)</f>
        <v>1924296</v>
      </c>
      <c r="P88" s="7">
        <f t="shared" si="55"/>
        <v>9.1967324059613539E-2</v>
      </c>
      <c r="Q88" s="85">
        <f t="shared" si="38"/>
        <v>2501511.2144214883</v>
      </c>
      <c r="R88" s="6">
        <f>VLOOKUP(B88,[8]AKSoftSalesReport!$B$2:$C$93,2,0)</f>
        <v>2867317.8899999978</v>
      </c>
      <c r="S88" s="7">
        <f t="shared" si="56"/>
        <v>0.13703689742719266</v>
      </c>
      <c r="T88" s="85">
        <f t="shared" si="39"/>
        <v>3727403.6100196405</v>
      </c>
      <c r="U88" s="71">
        <f>VLOOKUP(B88,[9]AKSoftSalesReport!$B$2:$C$94,2,0)</f>
        <v>2951806.569999997</v>
      </c>
      <c r="V88" s="7">
        <f t="shared" si="57"/>
        <v>0.14107484055700684</v>
      </c>
      <c r="W88" s="85">
        <f t="shared" si="40"/>
        <v>3837235.6631505857</v>
      </c>
      <c r="X88" s="71">
        <f>VLOOKUP(B88,[10]AKSoftSalesReport!$B$2:$C$94,2,0)</f>
        <v>2520955.359999992</v>
      </c>
      <c r="Y88" s="7">
        <f t="shared" si="58"/>
        <v>0.12048329286811331</v>
      </c>
      <c r="Z88" s="85">
        <f t="shared" si="41"/>
        <v>3277145.5660126819</v>
      </c>
      <c r="AA88" s="71">
        <f>VLOOKUP(B88,[11]AKSoftSalesReport!$B$2:$C$94,2,0)</f>
        <v>2098781.1300000036</v>
      </c>
      <c r="AB88" s="7">
        <f t="shared" si="59"/>
        <v>0.10030644158326589</v>
      </c>
      <c r="AC88" s="85">
        <f t="shared" si="42"/>
        <v>2728335.2110648323</v>
      </c>
      <c r="AD88" s="51">
        <f>VLOOKUP(B88,[12]AKSoftSalesReport!$B$2:$C$89,2,0)</f>
        <v>1822729.1</v>
      </c>
      <c r="AE88" s="7">
        <f t="shared" si="60"/>
        <v>8.7113166484048057E-2</v>
      </c>
      <c r="AF88" s="85">
        <f t="shared" si="43"/>
        <v>2369478.1283661071</v>
      </c>
      <c r="AG88" s="154">
        <f>VLOOKUP(B88,[13]AKSoftSalesReport!$B$2:$C$90,2,0)</f>
        <v>1096670</v>
      </c>
      <c r="AH88" s="7">
        <f t="shared" si="61"/>
        <v>5.2412833200534831E-2</v>
      </c>
      <c r="AI88" s="85">
        <f t="shared" si="44"/>
        <v>1425629.0630545474</v>
      </c>
      <c r="AJ88" s="104">
        <f>VLOOKUP(B88,[14]AKSoftSalesReport!$A:$D,4,0)</f>
        <v>791753.2857142858</v>
      </c>
      <c r="AK88" s="7">
        <f t="shared" si="62"/>
        <v>3.7840036565346236E-2</v>
      </c>
      <c r="AL88" s="85">
        <f t="shared" si="45"/>
        <v>1029248.9945774176</v>
      </c>
      <c r="AM88" s="6">
        <f t="shared" si="46"/>
        <v>20923692.405714281</v>
      </c>
      <c r="AN88" s="155"/>
      <c r="AO88" s="74">
        <v>20923692.405714281</v>
      </c>
      <c r="AP88" s="87">
        <f t="shared" si="63"/>
        <v>27200800.127428565</v>
      </c>
      <c r="AQ88" s="237">
        <v>0.3</v>
      </c>
      <c r="AR88" s="25">
        <v>27200000</v>
      </c>
      <c r="AS88" s="240">
        <f t="shared" si="64"/>
        <v>27199999.999999996</v>
      </c>
      <c r="AT88" s="31">
        <f t="shared" si="33"/>
        <v>0</v>
      </c>
      <c r="AV88" s="253">
        <f>VLOOKUP(B88,[17]AKSoftSalesReport!$A:$B,2,0)</f>
        <v>335228</v>
      </c>
      <c r="AW88" s="28">
        <f t="shared" si="47"/>
        <v>668986</v>
      </c>
      <c r="AX88" s="28">
        <f>VLOOKUP(B88,[18]AKSoftSalesReport!$A:$B,2,0)</f>
        <v>113378</v>
      </c>
      <c r="AY88" s="79">
        <f t="shared" si="48"/>
        <v>782364</v>
      </c>
      <c r="AZ88" s="28">
        <v>113378</v>
      </c>
      <c r="BA88" s="28">
        <f t="shared" si="49"/>
        <v>309516</v>
      </c>
      <c r="BB88" s="28">
        <f>VLOOKUP(B88,[19]AKSoftSalesReport!$A:$B,2,0)</f>
        <v>1036089</v>
      </c>
      <c r="BC88" s="28">
        <f t="shared" si="50"/>
        <v>1345605</v>
      </c>
    </row>
    <row r="89" spans="1:55" x14ac:dyDescent="0.3">
      <c r="A89" s="61">
        <v>86</v>
      </c>
      <c r="B89" s="90" t="s">
        <v>90</v>
      </c>
      <c r="C89" s="70">
        <f>VLOOKUP(B89,[3]AKSoftSalesReport!$B$2:$C$87,2,0)</f>
        <v>2382120.9599999925</v>
      </c>
      <c r="D89" s="7">
        <f t="shared" si="51"/>
        <v>7.1977496667436525E-2</v>
      </c>
      <c r="E89" s="85">
        <f t="shared" si="34"/>
        <v>3096471.9066331191</v>
      </c>
      <c r="F89" s="70">
        <f>VLOOKUP(B89,[4]AKSoftSalesReport!$B$2:$C$87,2,0)</f>
        <v>2242313.1199999992</v>
      </c>
      <c r="G89" s="7">
        <f t="shared" si="52"/>
        <v>6.7753102311878255E-2</v>
      </c>
      <c r="H89" s="85">
        <f t="shared" si="35"/>
        <v>2914738.4614570024</v>
      </c>
      <c r="I89" s="70">
        <f>VLOOKUP(B89,[5]AKSoftSalesReport!$B$2:$C$87,2,0)</f>
        <v>1562302</v>
      </c>
      <c r="J89" s="7">
        <f t="shared" si="53"/>
        <v>4.7206077645414686E-2</v>
      </c>
      <c r="K89" s="85">
        <f t="shared" si="36"/>
        <v>2030805.4603057399</v>
      </c>
      <c r="L89" s="6">
        <f>VLOOKUP(B89,[6]AKSoftSalesReport!$B$2:$C$87,2,0)</f>
        <v>2536466.5</v>
      </c>
      <c r="M89" s="7">
        <f t="shared" si="54"/>
        <v>7.6641158075707011E-2</v>
      </c>
      <c r="N89" s="85">
        <f t="shared" si="37"/>
        <v>3297102.6204169155</v>
      </c>
      <c r="O89" s="6">
        <f>VLOOKUP(B89,[7]AKSoftSalesReport!$B$2:$C$89,2,0)</f>
        <v>2948508.4699999895</v>
      </c>
      <c r="P89" s="7">
        <f t="shared" si="55"/>
        <v>8.909130230453674E-2</v>
      </c>
      <c r="Q89" s="85">
        <f t="shared" si="38"/>
        <v>3832707.8251411705</v>
      </c>
      <c r="R89" s="6">
        <f>VLOOKUP(B89,[8]AKSoftSalesReport!$B$2:$C$93,2,0)</f>
        <v>3021862.3599999794</v>
      </c>
      <c r="S89" s="7">
        <f t="shared" si="56"/>
        <v>9.1307742805113917E-2</v>
      </c>
      <c r="T89" s="85">
        <f t="shared" si="39"/>
        <v>3928059.0954760006</v>
      </c>
      <c r="U89" s="71">
        <f>VLOOKUP(B89,[9]AKSoftSalesReport!$B$2:$C$94,2,0)</f>
        <v>3170622.9299999955</v>
      </c>
      <c r="V89" s="7">
        <f t="shared" si="57"/>
        <v>9.580265033131366E-2</v>
      </c>
      <c r="W89" s="85">
        <f t="shared" si="40"/>
        <v>4121430.0172531134</v>
      </c>
      <c r="X89" s="71">
        <f>VLOOKUP(B89,[10]AKSoftSalesReport!$B$2:$C$94,2,0)</f>
        <v>3346765.669999999</v>
      </c>
      <c r="Y89" s="7">
        <f t="shared" si="58"/>
        <v>0.10112492980168256</v>
      </c>
      <c r="Z89" s="85">
        <f t="shared" si="41"/>
        <v>4350394.4800683837</v>
      </c>
      <c r="AA89" s="71">
        <f>VLOOKUP(B89,[11]AKSoftSalesReport!$B$2:$C$94,2,0)</f>
        <v>2860914.6299999962</v>
      </c>
      <c r="AB89" s="7">
        <f t="shared" si="59"/>
        <v>8.6444591481469421E-2</v>
      </c>
      <c r="AC89" s="85">
        <f t="shared" si="42"/>
        <v>3718846.3255328145</v>
      </c>
      <c r="AD89" s="51">
        <f>VLOOKUP(B89,[12]AKSoftSalesReport!$B$2:$C$89,2,0)</f>
        <v>3054809.3900000006</v>
      </c>
      <c r="AE89" s="7">
        <f t="shared" si="60"/>
        <v>9.2303260993253478E-2</v>
      </c>
      <c r="AF89" s="85">
        <f t="shared" si="43"/>
        <v>3970886.2879297645</v>
      </c>
      <c r="AG89" s="154">
        <f>VLOOKUP(B89,[13]AKSoftSalesReport!$B$2:$C$90,2,0)</f>
        <v>3016367.1799999969</v>
      </c>
      <c r="AH89" s="7">
        <f t="shared" si="61"/>
        <v>9.1141701992419125E-2</v>
      </c>
      <c r="AI89" s="85">
        <f t="shared" si="44"/>
        <v>3920916.0197138707</v>
      </c>
      <c r="AJ89" s="104">
        <f>VLOOKUP(B89,[14]AKSoftSalesReport!$A:$D,4,0)</f>
        <v>2952303.9542857148</v>
      </c>
      <c r="AK89" s="7">
        <f t="shared" si="62"/>
        <v>8.9205985589774744E-2</v>
      </c>
      <c r="AL89" s="85">
        <f t="shared" si="45"/>
        <v>3837641.5000721095</v>
      </c>
      <c r="AM89" s="6">
        <f t="shared" si="46"/>
        <v>33095357.16428566</v>
      </c>
      <c r="AN89" s="155"/>
      <c r="AO89" s="73">
        <v>33095357.16428566</v>
      </c>
      <c r="AP89" s="87">
        <f t="shared" si="63"/>
        <v>43023964.313571356</v>
      </c>
      <c r="AQ89" s="237">
        <v>0.3</v>
      </c>
      <c r="AR89" s="3">
        <v>43020000</v>
      </c>
      <c r="AS89" s="240">
        <f t="shared" si="64"/>
        <v>43020000.000000007</v>
      </c>
      <c r="AT89" s="31">
        <f t="shared" si="33"/>
        <v>0</v>
      </c>
      <c r="AV89" s="253">
        <f>VLOOKUP(B89,[17]AKSoftSalesReport!$A:$B,2,0)</f>
        <v>790525.19000000006</v>
      </c>
      <c r="AW89" s="28">
        <f t="shared" si="47"/>
        <v>1451787.9299999992</v>
      </c>
      <c r="AX89" s="28">
        <f>VLOOKUP(B89,[18]AKSoftSalesReport!$A:$B,2,0)</f>
        <v>399193</v>
      </c>
      <c r="AY89" s="79">
        <f t="shared" si="48"/>
        <v>1850980.9299999992</v>
      </c>
      <c r="AZ89" s="28">
        <v>399193</v>
      </c>
      <c r="BA89" s="28">
        <f t="shared" si="49"/>
        <v>1163109</v>
      </c>
      <c r="BB89" s="28">
        <f>VLOOKUP(B89,[19]AKSoftSalesReport!$A:$B,2,0)</f>
        <v>766856</v>
      </c>
      <c r="BC89" s="28">
        <f t="shared" si="50"/>
        <v>1929965</v>
      </c>
    </row>
    <row r="90" spans="1:55" x14ac:dyDescent="0.3">
      <c r="A90" s="239">
        <v>87</v>
      </c>
      <c r="B90" s="89" t="s">
        <v>144</v>
      </c>
      <c r="C90" s="70">
        <f>VLOOKUP(B90,[3]AKSoftSalesReport!$B$2:$C$87,2,0)</f>
        <v>1696984.4800000007</v>
      </c>
      <c r="D90" s="7">
        <f t="shared" si="51"/>
        <v>7.299892624010014E-2</v>
      </c>
      <c r="E90" s="85">
        <f t="shared" si="34"/>
        <v>2291071.3000455429</v>
      </c>
      <c r="F90" s="70">
        <f>VLOOKUP(B90,[4]AKSoftSalesReport!$B$2:$C$87,2,0)</f>
        <v>1601470.85</v>
      </c>
      <c r="G90" s="7">
        <f t="shared" si="52"/>
        <v>6.8890230778551637E-2</v>
      </c>
      <c r="H90" s="85">
        <f t="shared" si="35"/>
        <v>2162119.8929848429</v>
      </c>
      <c r="I90" s="70">
        <f>VLOOKUP(B90,[5]AKSoftSalesReport!$B$2:$C$87,2,0)</f>
        <v>1190965.25</v>
      </c>
      <c r="J90" s="7">
        <f t="shared" si="53"/>
        <v>5.1231573101524416E-2</v>
      </c>
      <c r="K90" s="85">
        <f t="shared" si="36"/>
        <v>1607902.9217913437</v>
      </c>
      <c r="L90" s="6">
        <f>VLOOKUP(B90,[6]AKSoftSalesReport!$B$2:$C$87,2,0)</f>
        <v>1816376.75</v>
      </c>
      <c r="M90" s="7">
        <f t="shared" si="54"/>
        <v>7.8134805568453272E-2</v>
      </c>
      <c r="N90" s="85">
        <f t="shared" si="37"/>
        <v>2452260.8727659062</v>
      </c>
      <c r="O90" s="6">
        <f>VLOOKUP(B90,[7]AKSoftSalesReport!$B$2:$C$89,2,0)</f>
        <v>2069163.5</v>
      </c>
      <c r="P90" s="7">
        <f t="shared" si="55"/>
        <v>8.9008895187543138E-2</v>
      </c>
      <c r="Q90" s="85">
        <f t="shared" si="38"/>
        <v>2793544.1754610413</v>
      </c>
      <c r="R90" s="6">
        <f>VLOOKUP(B90,[8]AKSoftSalesReport!$B$2:$C$93,2,0)</f>
        <v>1949954.75</v>
      </c>
      <c r="S90" s="7">
        <f t="shared" si="56"/>
        <v>8.3880910311438364E-2</v>
      </c>
      <c r="T90" s="85">
        <f t="shared" si="39"/>
        <v>2632602.3701244933</v>
      </c>
      <c r="U90" s="71">
        <f>VLOOKUP(B90,[9]AKSoftSalesReport!$B$2:$C$94,2,0)</f>
        <v>2193597</v>
      </c>
      <c r="V90" s="7">
        <f t="shared" si="57"/>
        <v>9.4361632348873861E-2</v>
      </c>
      <c r="W90" s="85">
        <f t="shared" si="40"/>
        <v>2961539.8312694062</v>
      </c>
      <c r="X90" s="71">
        <f>VLOOKUP(B90,[10]AKSoftSalesReport!$B$2:$C$94,2,0)</f>
        <v>2306991.2300000004</v>
      </c>
      <c r="Y90" s="7">
        <f t="shared" si="58"/>
        <v>9.9239494892332705E-2</v>
      </c>
      <c r="Z90" s="85">
        <f t="shared" si="41"/>
        <v>3114631.547195862</v>
      </c>
      <c r="AA90" s="71">
        <f>VLOOKUP(B90,[11]AKSoftSalesReport!$B$2:$C$94,2,0)</f>
        <v>2221706.0099999998</v>
      </c>
      <c r="AB90" s="7">
        <f t="shared" si="59"/>
        <v>9.557079340594625E-2</v>
      </c>
      <c r="AC90" s="85">
        <f t="shared" si="42"/>
        <v>2999489.351045623</v>
      </c>
      <c r="AD90" s="51">
        <f>VLOOKUP(B90,[12]AKSoftSalesReport!$B$2:$C$89,2,0)</f>
        <v>2180738.4000000004</v>
      </c>
      <c r="AE90" s="7">
        <f t="shared" si="60"/>
        <v>9.3808495885922286E-2</v>
      </c>
      <c r="AF90" s="85">
        <f t="shared" si="43"/>
        <v>2944179.643379671</v>
      </c>
      <c r="AG90" s="154">
        <f>VLOOKUP(B90,[13]AKSoftSalesReport!$B$2:$C$90,2,0)</f>
        <v>2031976</v>
      </c>
      <c r="AH90" s="7">
        <f t="shared" si="61"/>
        <v>8.7409206091061994E-2</v>
      </c>
      <c r="AI90" s="85">
        <f t="shared" si="44"/>
        <v>2743337.9331679805</v>
      </c>
      <c r="AJ90" s="104">
        <f>VLOOKUP(B90,[14]AKSoftSalesReport!$A:$D,4,0)</f>
        <v>1986780.4564285721</v>
      </c>
      <c r="AK90" s="7">
        <f t="shared" si="62"/>
        <v>8.5465036188251867E-2</v>
      </c>
      <c r="AL90" s="85">
        <f t="shared" si="45"/>
        <v>2682320.1607682849</v>
      </c>
      <c r="AM90" s="6">
        <f t="shared" si="46"/>
        <v>23246704.676428575</v>
      </c>
      <c r="AN90" s="155"/>
      <c r="AO90" s="73">
        <v>23246704.676428575</v>
      </c>
      <c r="AP90" s="87">
        <f t="shared" si="63"/>
        <v>31383051.313178577</v>
      </c>
      <c r="AQ90" s="237">
        <v>0.35</v>
      </c>
      <c r="AR90" s="3">
        <v>31385000</v>
      </c>
      <c r="AS90" s="240">
        <f t="shared" si="64"/>
        <v>31384999.999999996</v>
      </c>
      <c r="AT90" s="31">
        <f t="shared" si="33"/>
        <v>0</v>
      </c>
      <c r="AV90" s="253">
        <f>VLOOKUP(B90,[17]AKSoftSalesReport!$A:$B,2,0)</f>
        <v>575420.5</v>
      </c>
      <c r="AW90" s="28">
        <f t="shared" si="47"/>
        <v>1026050.3500000001</v>
      </c>
      <c r="AX90" s="28">
        <f>VLOOKUP(B90,[18]AKSoftSalesReport!$A:$B,2,0)</f>
        <v>344414</v>
      </c>
      <c r="AY90" s="79">
        <f t="shared" si="48"/>
        <v>1370464.35</v>
      </c>
      <c r="AZ90" s="28">
        <v>344414</v>
      </c>
      <c r="BA90" s="28">
        <f t="shared" si="49"/>
        <v>846551.25</v>
      </c>
      <c r="BB90" s="28">
        <f>VLOOKUP(B90,[19]AKSoftSalesReport!$A:$B,2,0)</f>
        <v>562912.25</v>
      </c>
      <c r="BC90" s="28">
        <f t="shared" si="50"/>
        <v>1409463.5</v>
      </c>
    </row>
    <row r="91" spans="1:55" x14ac:dyDescent="0.3">
      <c r="A91" s="61">
        <v>88</v>
      </c>
      <c r="B91" s="90" t="s">
        <v>145</v>
      </c>
      <c r="C91" s="70">
        <f>VLOOKUP(B91,[3]AKSoftSalesReport!$B$2:$C$87,2,0)</f>
        <v>453989</v>
      </c>
      <c r="D91" s="7">
        <f t="shared" si="51"/>
        <v>6.3899804448388706E-2</v>
      </c>
      <c r="E91" s="85">
        <f t="shared" si="34"/>
        <v>612799.1246600477</v>
      </c>
      <c r="F91" s="70">
        <f>VLOOKUP(B91,[4]AKSoftSalesReport!$B$2:$C$87,2,0)</f>
        <v>454828</v>
      </c>
      <c r="G91" s="7">
        <f t="shared" si="52"/>
        <v>6.4017895274228534E-2</v>
      </c>
      <c r="H91" s="85">
        <f t="shared" si="35"/>
        <v>613931.61567985162</v>
      </c>
      <c r="I91" s="70">
        <f>VLOOKUP(B91,[5]AKSoftSalesReport!$B$2:$C$87,2,0)</f>
        <v>306315</v>
      </c>
      <c r="J91" s="7">
        <f t="shared" si="53"/>
        <v>4.311441158179645E-2</v>
      </c>
      <c r="K91" s="85">
        <f t="shared" si="36"/>
        <v>413467.20706942794</v>
      </c>
      <c r="L91" s="6">
        <f>VLOOKUP(B91,[6]AKSoftSalesReport!$B$2:$C$87,2,0)</f>
        <v>563308</v>
      </c>
      <c r="M91" s="7">
        <f t="shared" si="54"/>
        <v>7.9286659025247189E-2</v>
      </c>
      <c r="N91" s="85">
        <f t="shared" si="37"/>
        <v>760359.06005212059</v>
      </c>
      <c r="O91" s="6">
        <f>VLOOKUP(B91,[7]AKSoftSalesReport!$B$2:$C$89,2,0)</f>
        <v>621681</v>
      </c>
      <c r="P91" s="7">
        <f t="shared" si="55"/>
        <v>8.7502768413505044E-2</v>
      </c>
      <c r="Q91" s="85">
        <f t="shared" si="38"/>
        <v>839151.54908551334</v>
      </c>
      <c r="R91" s="6">
        <f>VLOOKUP(B91,[8]AKSoftSalesReport!$B$2:$C$93,2,0)</f>
        <v>727336</v>
      </c>
      <c r="S91" s="7">
        <f t="shared" si="56"/>
        <v>0.10237390810850759</v>
      </c>
      <c r="T91" s="85">
        <f t="shared" si="39"/>
        <v>981765.7787605878</v>
      </c>
      <c r="U91" s="71">
        <f>VLOOKUP(B91,[9]AKSoftSalesReport!$B$2:$C$94,2,0)</f>
        <v>671207</v>
      </c>
      <c r="V91" s="7">
        <f t="shared" si="57"/>
        <v>9.4473645935010855E-2</v>
      </c>
      <c r="W91" s="85">
        <f t="shared" si="40"/>
        <v>906002.26451675408</v>
      </c>
      <c r="X91" s="71">
        <f>VLOOKUP(B91,[10]AKSoftSalesReport!$B$2:$C$94,2,0)</f>
        <v>702592</v>
      </c>
      <c r="Y91" s="7">
        <f t="shared" si="58"/>
        <v>9.8891143633441161E-2</v>
      </c>
      <c r="Z91" s="85">
        <f t="shared" si="41"/>
        <v>948366.06744470075</v>
      </c>
      <c r="AA91" s="71">
        <f>VLOOKUP(B91,[11]AKSoftSalesReport!$B$2:$C$94,2,0)</f>
        <v>699959</v>
      </c>
      <c r="AB91" s="7">
        <f t="shared" si="59"/>
        <v>9.8520543938046323E-2</v>
      </c>
      <c r="AC91" s="85">
        <f t="shared" si="42"/>
        <v>944812.0163658642</v>
      </c>
      <c r="AD91" s="51">
        <f>VLOOKUP(B91,[12]AKSoftSalesReport!$B$2:$C$89,2,0)</f>
        <v>684413</v>
      </c>
      <c r="AE91" s="7">
        <f t="shared" si="60"/>
        <v>9.6332415238992705E-2</v>
      </c>
      <c r="AF91" s="85">
        <f t="shared" si="43"/>
        <v>923827.86214194004</v>
      </c>
      <c r="AG91" s="154">
        <f>VLOOKUP(B91,[13]AKSoftSalesReport!$B$2:$C$90,2,0)</f>
        <v>620195</v>
      </c>
      <c r="AH91" s="7">
        <f t="shared" si="61"/>
        <v>8.7293611122446657E-2</v>
      </c>
      <c r="AI91" s="85">
        <f t="shared" si="44"/>
        <v>837145.73066426348</v>
      </c>
      <c r="AJ91" s="104">
        <f>VLOOKUP(B91,[14]AKSoftSalesReport!$A:$D,4,0)</f>
        <v>598877.92857142864</v>
      </c>
      <c r="AK91" s="7">
        <f t="shared" si="62"/>
        <v>8.4293193280388715E-2</v>
      </c>
      <c r="AL91" s="85">
        <f t="shared" si="45"/>
        <v>808371.72355892777</v>
      </c>
      <c r="AM91" s="6">
        <f t="shared" si="46"/>
        <v>7104700.9285714291</v>
      </c>
      <c r="AN91" s="1"/>
      <c r="AO91" s="73">
        <v>7104700.9285714291</v>
      </c>
      <c r="AP91" s="87">
        <f t="shared" si="63"/>
        <v>9591346.2535714284</v>
      </c>
      <c r="AQ91" s="237">
        <v>0.35</v>
      </c>
      <c r="AR91" s="1">
        <v>9590000</v>
      </c>
      <c r="AS91" s="240">
        <f t="shared" si="64"/>
        <v>9589999.9999999981</v>
      </c>
      <c r="AT91" s="31">
        <f t="shared" si="33"/>
        <v>0</v>
      </c>
      <c r="AV91" s="253">
        <f>VLOOKUP(B91,[17]AKSoftSalesReport!$A:$B,2,0)</f>
        <v>181660</v>
      </c>
      <c r="AW91" s="28">
        <f t="shared" si="47"/>
        <v>273168</v>
      </c>
      <c r="AX91" s="28">
        <f>VLOOKUP(B91,[18]AKSoftSalesReport!$A:$B,2,0)</f>
        <v>87296</v>
      </c>
      <c r="AY91" s="79">
        <f t="shared" si="48"/>
        <v>360464</v>
      </c>
      <c r="AZ91" s="28">
        <v>87296</v>
      </c>
      <c r="BA91" s="28">
        <f t="shared" si="49"/>
        <v>219019</v>
      </c>
      <c r="BB91" s="28">
        <f>VLOOKUP(B91,[19]AKSoftSalesReport!$A:$B,2,0)</f>
        <v>219283</v>
      </c>
      <c r="BC91" s="28">
        <f t="shared" si="50"/>
        <v>438302</v>
      </c>
    </row>
    <row r="92" spans="1:55" x14ac:dyDescent="0.3">
      <c r="A92" s="239">
        <v>89</v>
      </c>
      <c r="B92" s="89" t="s">
        <v>110</v>
      </c>
      <c r="C92" s="70">
        <f>VLOOKUP(B92,[3]AKSoftSalesReport!$B$2:$C$87,2,0)</f>
        <v>1121133.7100000004</v>
      </c>
      <c r="D92" s="7">
        <f t="shared" si="51"/>
        <v>7.5474248913735276E-2</v>
      </c>
      <c r="E92" s="85">
        <f t="shared" si="34"/>
        <v>1289100.1714465986</v>
      </c>
      <c r="F92" s="70">
        <f>VLOOKUP(B92,[4]AKSoftSalesReport!$B$2:$C$87,2,0)</f>
        <v>1001544.1500000001</v>
      </c>
      <c r="G92" s="7">
        <f t="shared" si="52"/>
        <v>6.7423530129332568E-2</v>
      </c>
      <c r="H92" s="85">
        <f t="shared" si="35"/>
        <v>1151593.8946090003</v>
      </c>
      <c r="I92" s="70">
        <f>VLOOKUP(B92,[5]AKSoftSalesReport!$B$2:$C$87,2,0)</f>
        <v>842264.8</v>
      </c>
      <c r="J92" s="7">
        <f t="shared" si="53"/>
        <v>5.6700911407326644E-2</v>
      </c>
      <c r="K92" s="85">
        <f t="shared" si="36"/>
        <v>968451.56683713908</v>
      </c>
      <c r="L92" s="6">
        <f>VLOOKUP(B92,[6]AKSoftSalesReport!$B$2:$C$87,2,0)</f>
        <v>1232293</v>
      </c>
      <c r="M92" s="7">
        <f t="shared" si="54"/>
        <v>8.2957445474236571E-2</v>
      </c>
      <c r="N92" s="85">
        <f t="shared" si="37"/>
        <v>1416913.1686999607</v>
      </c>
      <c r="O92" s="6">
        <f>VLOOKUP(B92,[7]AKSoftSalesReport!$B$2:$C$89,2,0)</f>
        <v>1075276.7400000002</v>
      </c>
      <c r="P92" s="7">
        <f t="shared" si="55"/>
        <v>7.2387177017369145E-2</v>
      </c>
      <c r="Q92" s="85">
        <f t="shared" si="38"/>
        <v>1236372.983456665</v>
      </c>
      <c r="R92" s="6">
        <f>VLOOKUP(B92,[8]AKSoftSalesReport!$B$2:$C$93,2,0)</f>
        <v>1424653.7500000009</v>
      </c>
      <c r="S92" s="7">
        <f t="shared" si="56"/>
        <v>9.5907090103807893E-2</v>
      </c>
      <c r="T92" s="85">
        <f t="shared" si="39"/>
        <v>1638093.0989730388</v>
      </c>
      <c r="U92" s="71">
        <f>VLOOKUP(B92,[9]AKSoftSalesReport!$B$2:$C$94,2,0)</f>
        <v>1355751.1</v>
      </c>
      <c r="V92" s="7">
        <f t="shared" si="57"/>
        <v>9.1268592741244381E-2</v>
      </c>
      <c r="W92" s="85">
        <f t="shared" si="40"/>
        <v>1558867.564020454</v>
      </c>
      <c r="X92" s="71">
        <f>VLOOKUP(B92,[10]AKSoftSalesReport!$B$2:$C$94,2,0)</f>
        <v>1546893.42</v>
      </c>
      <c r="Y92" s="7">
        <f t="shared" si="58"/>
        <v>0.10413621317665955</v>
      </c>
      <c r="Z92" s="85">
        <f t="shared" si="41"/>
        <v>1778646.5210573452</v>
      </c>
      <c r="AA92" s="71">
        <f>VLOOKUP(B92,[11]AKSoftSalesReport!$B$2:$C$94,2,0)</f>
        <v>1383140</v>
      </c>
      <c r="AB92" s="7">
        <f t="shared" si="59"/>
        <v>9.3112401947617635E-2</v>
      </c>
      <c r="AC92" s="85">
        <f t="shared" si="42"/>
        <v>1590359.8252653093</v>
      </c>
      <c r="AD92" s="51">
        <f>VLOOKUP(B92,[12]AKSoftSalesReport!$B$2:$C$89,2,0)</f>
        <v>1404276.6300000006</v>
      </c>
      <c r="AE92" s="7">
        <f t="shared" si="60"/>
        <v>9.4535310972284778E-2</v>
      </c>
      <c r="AF92" s="85">
        <f t="shared" si="43"/>
        <v>1614663.1114066241</v>
      </c>
      <c r="AG92" s="154">
        <f>VLOOKUP(B92,[13]AKSoftSalesReport!$B$2:$C$90,2,0)</f>
        <v>1302310</v>
      </c>
      <c r="AH92" s="7">
        <f t="shared" si="61"/>
        <v>8.7670960409215196E-2</v>
      </c>
      <c r="AI92" s="85">
        <f t="shared" si="44"/>
        <v>1497420.0037893956</v>
      </c>
      <c r="AJ92" s="104">
        <f>VLOOKUP(B92,[14]AKSoftSalesReport!$A:$D,4,0)</f>
        <v>1164982.3028571431</v>
      </c>
      <c r="AK92" s="7">
        <f t="shared" si="62"/>
        <v>7.8426117707170298E-2</v>
      </c>
      <c r="AL92" s="85">
        <f t="shared" si="45"/>
        <v>1339518.0904384686</v>
      </c>
      <c r="AM92" s="6">
        <f t="shared" si="46"/>
        <v>14854519.602857146</v>
      </c>
      <c r="AN92" s="1"/>
      <c r="AO92" s="73">
        <v>14854519.602857146</v>
      </c>
      <c r="AP92" s="87">
        <f t="shared" si="63"/>
        <v>17082697.54328572</v>
      </c>
      <c r="AQ92" s="237">
        <v>0.15</v>
      </c>
      <c r="AR92" s="1">
        <v>17080000</v>
      </c>
      <c r="AS92" s="240">
        <f t="shared" si="64"/>
        <v>17079999.999999996</v>
      </c>
      <c r="AT92" s="31">
        <f t="shared" si="33"/>
        <v>0</v>
      </c>
      <c r="AV92" s="253">
        <f>VLOOKUP(B92,[17]AKSoftSalesReport!$A:$B,2,0)</f>
        <v>363044</v>
      </c>
      <c r="AW92" s="28">
        <f t="shared" si="47"/>
        <v>638500.15000000014</v>
      </c>
      <c r="AX92" s="28">
        <f>VLOOKUP(B92,[18]AKSoftSalesReport!$A:$B,2,0)</f>
        <v>246065.5</v>
      </c>
      <c r="AY92" s="79">
        <f t="shared" si="48"/>
        <v>884565.65000000014</v>
      </c>
      <c r="AZ92" s="28">
        <v>246065.5</v>
      </c>
      <c r="BA92" s="28">
        <f t="shared" si="49"/>
        <v>596199.30000000005</v>
      </c>
      <c r="BB92" s="28">
        <f>VLOOKUP(B92,[19]AKSoftSalesReport!$A:$B,2,0)</f>
        <v>419939</v>
      </c>
      <c r="BC92" s="28">
        <f t="shared" si="50"/>
        <v>1016138.3</v>
      </c>
    </row>
    <row r="93" spans="1:55" ht="15" thickBot="1" x14ac:dyDescent="0.35">
      <c r="A93" s="241">
        <v>90</v>
      </c>
      <c r="B93" s="242" t="s">
        <v>152</v>
      </c>
      <c r="C93" s="243">
        <f>VLOOKUP(B93,[3]AKSoftSalesReport!$B$2:$C$87,2,0)</f>
        <v>805009</v>
      </c>
      <c r="D93" s="244">
        <f t="shared" si="51"/>
        <v>6.6199870179664402E-2</v>
      </c>
      <c r="E93" s="85">
        <f t="shared" si="34"/>
        <v>1086670.8689991911</v>
      </c>
      <c r="F93" s="243">
        <f>VLOOKUP(B93,[4]AKSoftSalesReport!$B$2:$C$87,2,0)</f>
        <v>775362.72</v>
      </c>
      <c r="G93" s="244">
        <f t="shared" si="52"/>
        <v>6.3761909998709912E-2</v>
      </c>
      <c r="H93" s="85">
        <f t="shared" si="35"/>
        <v>1046651.7526288232</v>
      </c>
      <c r="I93" s="243">
        <f>VLOOKUP(B93,[5]AKSoftSalesReport!$B$2:$C$87,2,0)</f>
        <v>650510</v>
      </c>
      <c r="J93" s="244">
        <f t="shared" si="53"/>
        <v>5.3494653538747376E-2</v>
      </c>
      <c r="K93" s="85">
        <f t="shared" si="36"/>
        <v>878114.73783853813</v>
      </c>
      <c r="L93" s="136">
        <f>VLOOKUP(B93,[6]AKSoftSalesReport!$B$2:$C$87,2,0)</f>
        <v>1036330</v>
      </c>
      <c r="M93" s="244">
        <f t="shared" si="54"/>
        <v>8.522253970240283E-2</v>
      </c>
      <c r="N93" s="85">
        <f t="shared" si="37"/>
        <v>1398927.9892149426</v>
      </c>
      <c r="O93" s="136">
        <f>VLOOKUP(B93,[7]AKSoftSalesReport!$B$2:$C$89,2,0)</f>
        <v>1010183</v>
      </c>
      <c r="P93" s="244">
        <f t="shared" si="55"/>
        <v>8.3072342616919703E-2</v>
      </c>
      <c r="Q93" s="85">
        <f t="shared" si="38"/>
        <v>1363632.5040567368</v>
      </c>
      <c r="R93" s="136">
        <f>VLOOKUP(B93,[8]AKSoftSalesReport!$B$2:$C$93,2,0)</f>
        <v>1156128</v>
      </c>
      <c r="S93" s="244">
        <f t="shared" si="56"/>
        <v>9.5074121545318177E-2</v>
      </c>
      <c r="T93" s="85">
        <f t="shared" si="39"/>
        <v>1560641.7051663978</v>
      </c>
      <c r="U93" s="245">
        <f>VLOOKUP(B93,[9]AKSoftSalesReport!$B$2:$C$94,2,0)</f>
        <v>1057838</v>
      </c>
      <c r="V93" s="244">
        <f t="shared" si="57"/>
        <v>8.6991248881833405E-2</v>
      </c>
      <c r="W93" s="85">
        <f t="shared" si="40"/>
        <v>1427961.3503952953</v>
      </c>
      <c r="X93" s="245">
        <v>1173839</v>
      </c>
      <c r="Y93" s="244">
        <f t="shared" si="58"/>
        <v>9.6530584641696018E-2</v>
      </c>
      <c r="Z93" s="85">
        <f t="shared" si="41"/>
        <v>1584549.5468934402</v>
      </c>
      <c r="AA93" s="245">
        <v>1114844</v>
      </c>
      <c r="AB93" s="244">
        <f t="shared" si="59"/>
        <v>9.1679134109777377E-2</v>
      </c>
      <c r="AC93" s="85">
        <f t="shared" si="42"/>
        <v>1504912.9864119957</v>
      </c>
      <c r="AD93" s="246">
        <v>1230347.2</v>
      </c>
      <c r="AE93" s="244">
        <f t="shared" si="60"/>
        <v>0.10117753331442703</v>
      </c>
      <c r="AF93" s="85">
        <f t="shared" si="43"/>
        <v>1660829.2093563196</v>
      </c>
      <c r="AG93" s="247">
        <v>1120951.01</v>
      </c>
      <c r="AH93" s="244">
        <f t="shared" si="61"/>
        <v>9.2181343736236099E-2</v>
      </c>
      <c r="AI93" s="85">
        <f t="shared" si="44"/>
        <v>1513156.7574303155</v>
      </c>
      <c r="AJ93" s="151">
        <v>1028938.7142857142</v>
      </c>
      <c r="AK93" s="244">
        <f t="shared" si="62"/>
        <v>8.4614717734267667E-2</v>
      </c>
      <c r="AL93" s="85">
        <f t="shared" si="45"/>
        <v>1388950.5916080037</v>
      </c>
      <c r="AM93" s="136">
        <f t="shared" si="46"/>
        <v>12160280.644285714</v>
      </c>
      <c r="AN93" s="136"/>
      <c r="AO93" s="151">
        <v>12160280.644285714</v>
      </c>
      <c r="AP93" s="248">
        <f t="shared" si="63"/>
        <v>16416378.869785715</v>
      </c>
      <c r="AQ93" s="249">
        <v>0.35</v>
      </c>
      <c r="AR93" s="136">
        <v>16415000</v>
      </c>
      <c r="AS93" s="250">
        <f t="shared" si="64"/>
        <v>16415000</v>
      </c>
      <c r="AT93" s="31">
        <f t="shared" si="33"/>
        <v>0</v>
      </c>
      <c r="AV93" s="253">
        <v>296693</v>
      </c>
      <c r="AW93" s="28">
        <f t="shared" si="47"/>
        <v>478669.72</v>
      </c>
      <c r="AX93" s="28">
        <v>160784</v>
      </c>
      <c r="AY93" s="79">
        <f t="shared" si="48"/>
        <v>639453.72</v>
      </c>
      <c r="AZ93" s="28">
        <v>160784</v>
      </c>
      <c r="BA93" s="28">
        <f t="shared" si="49"/>
        <v>489726</v>
      </c>
      <c r="BB93" s="28">
        <v>417480</v>
      </c>
      <c r="BC93" s="28">
        <f t="shared" si="50"/>
        <v>907206</v>
      </c>
    </row>
    <row r="94" spans="1:55" ht="16.2" thickBot="1" x14ac:dyDescent="0.35">
      <c r="A94" s="287" t="s">
        <v>21</v>
      </c>
      <c r="B94" s="288"/>
      <c r="C94" s="77">
        <v>123935306.22002108</v>
      </c>
      <c r="D94" s="152"/>
      <c r="E94" s="50">
        <f>SUM(E4:E93)</f>
        <v>150506057.60678712</v>
      </c>
      <c r="F94" s="80">
        <v>118578237.47000037</v>
      </c>
      <c r="G94" s="81"/>
      <c r="H94" s="50">
        <f>SUM(H4:H93)</f>
        <v>144677387.37200397</v>
      </c>
      <c r="I94" s="139">
        <v>85523335.089999989</v>
      </c>
      <c r="J94" s="82"/>
      <c r="K94" s="50">
        <f>SUM(K4:K93)</f>
        <v>103157581.25802326</v>
      </c>
      <c r="L94" s="80">
        <v>130014791.09000191</v>
      </c>
      <c r="M94" s="50"/>
      <c r="N94" s="50">
        <f>SUM(N4:N93)</f>
        <v>158440223.9764328</v>
      </c>
      <c r="O94" s="50">
        <v>146772707.12000585</v>
      </c>
      <c r="P94" s="50"/>
      <c r="Q94" s="50">
        <f>SUM(Q4:Q93)</f>
        <v>178961445.61126781</v>
      </c>
      <c r="R94" s="50">
        <v>156268190.02000803</v>
      </c>
      <c r="S94" s="50"/>
      <c r="T94" s="50">
        <f>SUM(T4:T93)</f>
        <v>191432554.93255216</v>
      </c>
      <c r="U94" s="50">
        <v>174914710.9499999</v>
      </c>
      <c r="V94" s="50"/>
      <c r="W94" s="50">
        <f>SUM(W4:W93)</f>
        <v>215368219.64589801</v>
      </c>
      <c r="X94" s="50">
        <v>182488139.73999953</v>
      </c>
      <c r="Y94" s="50"/>
      <c r="Z94" s="50">
        <f>SUM(Z4:Z93)</f>
        <v>226404253.29090217</v>
      </c>
      <c r="AA94" s="50">
        <v>166469096.28000024</v>
      </c>
      <c r="AB94" s="50"/>
      <c r="AC94" s="50">
        <f>SUM(AC4:AC93)</f>
        <v>207468732.57270312</v>
      </c>
      <c r="AD94" s="170">
        <v>165301490.08000124</v>
      </c>
      <c r="AE94" s="50"/>
      <c r="AF94" s="50">
        <f>SUM(AF4:AF93)</f>
        <v>207245288.06896806</v>
      </c>
      <c r="AG94" s="50">
        <v>155661292.34000006</v>
      </c>
      <c r="AH94" s="50"/>
      <c r="AI94" s="50">
        <f>SUM(AI4:AI93)</f>
        <v>193711314.07371488</v>
      </c>
      <c r="AJ94" s="50">
        <f>SUM(AJ4:AJ93)</f>
        <v>155768704.25428569</v>
      </c>
      <c r="AK94" s="50"/>
      <c r="AL94" s="50">
        <f>SUM(AL4:AL93)</f>
        <v>195205314.01926091</v>
      </c>
      <c r="AM94" s="72">
        <f>AJ94+AG94+AD94+AA94+X94+U94+R94+O94+L94+I94+F94+C94</f>
        <v>1761696000.6543236</v>
      </c>
      <c r="AN94" s="83"/>
      <c r="AO94" s="50">
        <f>SUM(AO4:AO93)</f>
        <v>1749794098.434998</v>
      </c>
      <c r="AP94" s="50">
        <f>SUM(AP4:AP93)</f>
        <v>2200085608.5873613</v>
      </c>
      <c r="AQ94" s="168">
        <v>0.24</v>
      </c>
      <c r="AR94" s="50">
        <f>SUM(AR4:AR93)</f>
        <v>2200000000</v>
      </c>
      <c r="AS94" s="145">
        <f>SUM(AS4:AS93)</f>
        <v>2172578372.4285145</v>
      </c>
      <c r="AT94" s="143"/>
    </row>
    <row r="95" spans="1:55" x14ac:dyDescent="0.3">
      <c r="Z95" s="28"/>
      <c r="AM95" s="111"/>
      <c r="AN95" s="111"/>
      <c r="AO95" s="111"/>
      <c r="AR95" s="149"/>
      <c r="AS95" s="29"/>
    </row>
    <row r="96" spans="1:55" x14ac:dyDescent="0.3">
      <c r="B96" s="52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150"/>
      <c r="AL96" s="28"/>
      <c r="AM96" s="28"/>
      <c r="AN96" s="111"/>
      <c r="AO96" s="111"/>
      <c r="AP96" s="149"/>
      <c r="AR96" s="149"/>
      <c r="AS96" s="29"/>
    </row>
    <row r="97" spans="1:45" x14ac:dyDescent="0.3">
      <c r="B97" s="52"/>
      <c r="D97" s="52"/>
      <c r="E97" s="28"/>
      <c r="F97" s="52"/>
      <c r="G97" s="52"/>
      <c r="H97" s="28"/>
      <c r="I97" s="52"/>
      <c r="J97" s="52"/>
      <c r="K97" s="28"/>
      <c r="L97" s="52"/>
      <c r="M97" s="52"/>
      <c r="N97" s="28"/>
      <c r="O97" s="52"/>
      <c r="P97" s="52"/>
      <c r="Q97" s="28"/>
      <c r="R97" s="52"/>
      <c r="S97" s="52"/>
      <c r="T97" s="28"/>
      <c r="U97" s="52"/>
      <c r="V97" s="52"/>
      <c r="W97" s="28"/>
      <c r="X97" s="52"/>
      <c r="Y97" s="52"/>
      <c r="Z97" s="28"/>
      <c r="AA97" s="52"/>
      <c r="AB97" s="52"/>
      <c r="AC97" s="28"/>
      <c r="AD97" s="52"/>
      <c r="AE97" s="150"/>
      <c r="AF97" s="28"/>
      <c r="AG97" s="52"/>
      <c r="AH97" s="150"/>
      <c r="AI97" s="28"/>
      <c r="AJ97" s="52"/>
      <c r="AK97" s="150"/>
      <c r="AL97" s="28"/>
      <c r="AM97" s="111"/>
      <c r="AN97" s="111"/>
      <c r="AO97" s="111"/>
      <c r="AP97" s="149"/>
      <c r="AR97" s="149"/>
      <c r="AS97" s="29"/>
    </row>
    <row r="98" spans="1:45" ht="15" thickBot="1" x14ac:dyDescent="0.35">
      <c r="B98" s="52"/>
      <c r="D98" s="52"/>
      <c r="E98" s="28"/>
      <c r="F98" s="52"/>
      <c r="G98" s="52"/>
      <c r="H98" s="28"/>
      <c r="I98" s="52"/>
      <c r="J98" s="52"/>
      <c r="K98" s="28"/>
      <c r="L98" s="52"/>
      <c r="M98" s="52"/>
      <c r="N98" s="28"/>
      <c r="O98" s="52"/>
      <c r="P98" s="52"/>
      <c r="Q98" s="28"/>
      <c r="R98" s="52"/>
      <c r="S98" s="52"/>
      <c r="T98" s="28"/>
      <c r="U98" s="52"/>
      <c r="V98" s="52"/>
      <c r="W98" s="28"/>
      <c r="X98" s="52"/>
      <c r="Y98" s="52"/>
      <c r="Z98" s="28"/>
      <c r="AA98" s="52"/>
      <c r="AB98" s="52"/>
      <c r="AC98" s="28"/>
      <c r="AD98" s="52"/>
      <c r="AE98" s="150"/>
      <c r="AF98" s="28"/>
      <c r="AG98" s="52"/>
      <c r="AH98" s="150"/>
      <c r="AI98" s="28"/>
      <c r="AJ98" s="52"/>
      <c r="AK98" s="150"/>
      <c r="AL98" s="28"/>
      <c r="AM98" s="111"/>
      <c r="AN98" s="111"/>
      <c r="AO98" s="111"/>
      <c r="AP98" s="149"/>
      <c r="AR98" s="149"/>
      <c r="AS98" s="29"/>
    </row>
    <row r="99" spans="1:45" ht="47.4" thickBot="1" x14ac:dyDescent="0.35">
      <c r="A99" s="66" t="s">
        <v>0</v>
      </c>
      <c r="B99" s="69" t="s">
        <v>1</v>
      </c>
      <c r="C99" s="19" t="s">
        <v>232</v>
      </c>
      <c r="D99" s="19"/>
      <c r="E99" s="19" t="s">
        <v>209</v>
      </c>
      <c r="F99" s="21" t="s">
        <v>233</v>
      </c>
      <c r="G99" s="21"/>
      <c r="H99" s="21" t="s">
        <v>234</v>
      </c>
      <c r="I99" s="19" t="s">
        <v>235</v>
      </c>
      <c r="J99" s="19"/>
      <c r="K99" s="19" t="s">
        <v>236</v>
      </c>
      <c r="L99" s="21" t="s">
        <v>237</v>
      </c>
      <c r="M99" s="21"/>
      <c r="N99" s="21" t="s">
        <v>238</v>
      </c>
      <c r="O99" s="21" t="s">
        <v>239</v>
      </c>
      <c r="P99" s="21"/>
      <c r="Q99" s="21" t="s">
        <v>240</v>
      </c>
      <c r="R99" s="19" t="s">
        <v>242</v>
      </c>
      <c r="S99" s="19"/>
      <c r="T99" s="19" t="s">
        <v>241</v>
      </c>
      <c r="U99" s="19" t="s">
        <v>243</v>
      </c>
      <c r="V99" s="19"/>
      <c r="W99" s="19" t="s">
        <v>244</v>
      </c>
      <c r="X99" s="19" t="s">
        <v>245</v>
      </c>
      <c r="Y99" s="19"/>
      <c r="Z99" s="19" t="s">
        <v>246</v>
      </c>
      <c r="AA99" s="19" t="s">
        <v>247</v>
      </c>
      <c r="AB99" s="19"/>
      <c r="AC99" s="19" t="s">
        <v>217</v>
      </c>
      <c r="AD99" s="19" t="s">
        <v>248</v>
      </c>
      <c r="AE99" s="19"/>
      <c r="AF99" s="19" t="s">
        <v>249</v>
      </c>
      <c r="AG99" s="19" t="s">
        <v>250</v>
      </c>
      <c r="AH99" s="19"/>
      <c r="AI99" s="19" t="s">
        <v>251</v>
      </c>
      <c r="AJ99" s="19" t="s">
        <v>252</v>
      </c>
      <c r="AK99" s="19"/>
      <c r="AL99" s="19" t="s">
        <v>253</v>
      </c>
      <c r="AM99" s="23" t="s">
        <v>37</v>
      </c>
      <c r="AN99" s="111"/>
      <c r="AO99" s="111"/>
      <c r="AP99" s="149"/>
      <c r="AR99" s="149"/>
      <c r="AS99" s="29"/>
    </row>
    <row r="100" spans="1:45" x14ac:dyDescent="0.3">
      <c r="A100" s="86">
        <v>1</v>
      </c>
      <c r="B100" s="102" t="s">
        <v>188</v>
      </c>
      <c r="C100" s="70">
        <v>1319770</v>
      </c>
      <c r="D100" s="7"/>
      <c r="E100" s="85">
        <v>1319770</v>
      </c>
      <c r="F100" s="70">
        <v>1606298</v>
      </c>
      <c r="G100" s="7"/>
      <c r="H100" s="85">
        <v>1606298</v>
      </c>
      <c r="I100" s="70">
        <v>1116977</v>
      </c>
      <c r="J100" s="7"/>
      <c r="K100" s="85">
        <v>1116977</v>
      </c>
      <c r="L100" s="6">
        <v>2048509.3</v>
      </c>
      <c r="M100" s="7"/>
      <c r="N100" s="85">
        <v>2048509.3</v>
      </c>
      <c r="O100" s="6">
        <v>2217244.12</v>
      </c>
      <c r="P100" s="7"/>
      <c r="Q100" s="85">
        <v>2217244.12</v>
      </c>
      <c r="R100" s="6">
        <v>2223387</v>
      </c>
      <c r="S100" s="7"/>
      <c r="T100" s="85">
        <v>2223387</v>
      </c>
      <c r="U100" s="71">
        <v>2503631</v>
      </c>
      <c r="V100" s="7"/>
      <c r="W100" s="198">
        <v>2400000</v>
      </c>
      <c r="X100" s="71">
        <v>2686709.77999999</v>
      </c>
      <c r="Y100" s="7"/>
      <c r="Z100" s="199">
        <v>2600000</v>
      </c>
      <c r="AA100" s="71">
        <v>2643132</v>
      </c>
      <c r="AB100" s="7"/>
      <c r="AC100" s="199">
        <v>2750000</v>
      </c>
      <c r="AD100" s="51">
        <v>2742692.09</v>
      </c>
      <c r="AE100" s="7"/>
      <c r="AF100" s="199">
        <v>2700000</v>
      </c>
      <c r="AG100" s="154">
        <v>2557652</v>
      </c>
      <c r="AH100" s="7"/>
      <c r="AI100" s="199">
        <v>2550000</v>
      </c>
      <c r="AJ100" s="104"/>
      <c r="AK100" s="7"/>
      <c r="AL100" s="199">
        <v>2650000</v>
      </c>
      <c r="AM100" s="6">
        <v>57976120.149999999</v>
      </c>
      <c r="AN100" s="111"/>
      <c r="AO100" s="111"/>
      <c r="AP100" s="149"/>
      <c r="AR100" s="149"/>
      <c r="AS100" s="29"/>
    </row>
    <row r="101" spans="1:45" x14ac:dyDescent="0.3">
      <c r="A101" s="62">
        <v>2</v>
      </c>
      <c r="B101" s="106" t="s">
        <v>189</v>
      </c>
      <c r="C101" s="70">
        <v>538831.25</v>
      </c>
      <c r="D101" s="7"/>
      <c r="E101" s="85">
        <v>538831.25</v>
      </c>
      <c r="F101" s="70">
        <v>705659.5</v>
      </c>
      <c r="G101" s="7"/>
      <c r="H101" s="85">
        <v>705659.5</v>
      </c>
      <c r="I101" s="70">
        <v>529219</v>
      </c>
      <c r="J101" s="7"/>
      <c r="K101" s="85">
        <v>529219</v>
      </c>
      <c r="L101" s="6">
        <v>848590.05</v>
      </c>
      <c r="M101" s="7"/>
      <c r="N101" s="85">
        <v>848590.05</v>
      </c>
      <c r="O101" s="6">
        <v>1089660.29</v>
      </c>
      <c r="P101" s="7"/>
      <c r="Q101" s="85">
        <v>1089660.29</v>
      </c>
      <c r="R101" s="6">
        <v>1023850.250000001</v>
      </c>
      <c r="S101" s="7"/>
      <c r="T101" s="85">
        <v>1023850.250000001</v>
      </c>
      <c r="U101" s="71">
        <v>1261498.18</v>
      </c>
      <c r="V101" s="7"/>
      <c r="W101" s="198">
        <v>1150000</v>
      </c>
      <c r="X101" s="71">
        <v>1379653.68</v>
      </c>
      <c r="Y101" s="7"/>
      <c r="Z101" s="199">
        <v>1400000</v>
      </c>
      <c r="AA101" s="71">
        <v>1422454.320000001</v>
      </c>
      <c r="AB101" s="7"/>
      <c r="AC101" s="199">
        <v>1450000</v>
      </c>
      <c r="AD101" s="51">
        <v>1457841.6</v>
      </c>
      <c r="AE101" s="7"/>
      <c r="AF101" s="199">
        <v>1500000</v>
      </c>
      <c r="AG101" s="154">
        <v>1360666.0899999999</v>
      </c>
      <c r="AH101" s="7"/>
      <c r="AI101" s="199">
        <v>1450000</v>
      </c>
      <c r="AJ101" s="104"/>
      <c r="AK101" s="7"/>
      <c r="AL101" s="199">
        <v>1375000</v>
      </c>
      <c r="AM101" s="6">
        <v>56802261.899999999</v>
      </c>
      <c r="AN101" s="111"/>
      <c r="AO101" s="111"/>
      <c r="AP101" s="149"/>
      <c r="AR101" s="149"/>
      <c r="AS101" s="29"/>
    </row>
    <row r="102" spans="1:45" x14ac:dyDescent="0.3">
      <c r="A102" s="86">
        <v>3</v>
      </c>
      <c r="B102" s="102" t="s">
        <v>202</v>
      </c>
      <c r="C102" s="70">
        <v>355438</v>
      </c>
      <c r="D102" s="7"/>
      <c r="E102" s="85">
        <v>355438</v>
      </c>
      <c r="F102" s="70">
        <v>720756</v>
      </c>
      <c r="G102" s="7"/>
      <c r="H102" s="85">
        <v>720756</v>
      </c>
      <c r="I102" s="70">
        <v>657481.5</v>
      </c>
      <c r="J102" s="7"/>
      <c r="K102" s="85">
        <v>657481.5</v>
      </c>
      <c r="L102" s="6">
        <v>1098075.1000000001</v>
      </c>
      <c r="M102" s="7"/>
      <c r="N102" s="85">
        <v>1098075.1000000001</v>
      </c>
      <c r="O102" s="6">
        <v>1119419.96</v>
      </c>
      <c r="P102" s="7"/>
      <c r="Q102" s="85">
        <v>1119419.96</v>
      </c>
      <c r="R102" s="6">
        <v>1114752.8400000015</v>
      </c>
      <c r="S102" s="7"/>
      <c r="T102" s="85">
        <v>1114752.8400000015</v>
      </c>
      <c r="U102" s="71">
        <v>1449700.84</v>
      </c>
      <c r="V102" s="7"/>
      <c r="W102" s="198">
        <v>1300000</v>
      </c>
      <c r="X102" s="71">
        <v>1529334.23</v>
      </c>
      <c r="Y102" s="7"/>
      <c r="Z102" s="199">
        <v>1650000</v>
      </c>
      <c r="AA102" s="71">
        <v>1523162.6500000004</v>
      </c>
      <c r="AB102" s="7"/>
      <c r="AC102" s="199">
        <v>1650000</v>
      </c>
      <c r="AD102" s="51">
        <v>1533781.24</v>
      </c>
      <c r="AE102" s="7"/>
      <c r="AF102" s="199">
        <v>1600000</v>
      </c>
      <c r="AG102" s="154">
        <v>1359972</v>
      </c>
      <c r="AH102" s="7"/>
      <c r="AI102" s="199">
        <v>1500000</v>
      </c>
      <c r="AJ102" s="104"/>
      <c r="AK102" s="7"/>
      <c r="AL102" s="199">
        <v>1400000</v>
      </c>
      <c r="AM102" s="6">
        <v>62756271.379999995</v>
      </c>
      <c r="AN102" s="111"/>
      <c r="AO102" s="111"/>
      <c r="AP102" s="149"/>
      <c r="AR102" s="149"/>
      <c r="AS102" s="29"/>
    </row>
    <row r="103" spans="1:45" x14ac:dyDescent="0.3">
      <c r="A103" s="62">
        <v>4</v>
      </c>
      <c r="B103" s="106" t="s">
        <v>190</v>
      </c>
      <c r="C103" s="70">
        <v>228812.5</v>
      </c>
      <c r="D103" s="7"/>
      <c r="E103" s="85">
        <v>228812.5</v>
      </c>
      <c r="F103" s="70">
        <v>578260</v>
      </c>
      <c r="G103" s="7"/>
      <c r="H103" s="85">
        <v>578260</v>
      </c>
      <c r="I103" s="70">
        <v>339232</v>
      </c>
      <c r="J103" s="7"/>
      <c r="K103" s="85">
        <v>339232</v>
      </c>
      <c r="L103" s="6">
        <v>640997.09</v>
      </c>
      <c r="M103" s="7"/>
      <c r="N103" s="85">
        <v>640997.09</v>
      </c>
      <c r="O103" s="6">
        <v>608642.46</v>
      </c>
      <c r="P103" s="7"/>
      <c r="Q103" s="85">
        <v>608642.46</v>
      </c>
      <c r="R103" s="6">
        <v>646271.94999999995</v>
      </c>
      <c r="S103" s="7"/>
      <c r="T103" s="85">
        <v>646271.94999999995</v>
      </c>
      <c r="U103" s="71">
        <v>744312</v>
      </c>
      <c r="V103" s="7"/>
      <c r="W103" s="198">
        <v>750000</v>
      </c>
      <c r="X103" s="71">
        <v>907617.84000000102</v>
      </c>
      <c r="Y103" s="7"/>
      <c r="Z103" s="199">
        <v>900000</v>
      </c>
      <c r="AA103" s="71">
        <v>1026740.25</v>
      </c>
      <c r="AB103" s="7"/>
      <c r="AC103" s="199">
        <v>1000000</v>
      </c>
      <c r="AD103" s="51">
        <v>1066403.45</v>
      </c>
      <c r="AE103" s="7"/>
      <c r="AF103" s="199">
        <v>1100000</v>
      </c>
      <c r="AG103" s="154">
        <v>1124351</v>
      </c>
      <c r="AH103" s="7"/>
      <c r="AI103" s="199">
        <v>950000</v>
      </c>
      <c r="AJ103" s="104"/>
      <c r="AK103" s="7"/>
      <c r="AL103" s="199">
        <v>1100000</v>
      </c>
      <c r="AM103" s="6">
        <v>45531422.829999998</v>
      </c>
      <c r="AN103" s="111"/>
      <c r="AO103" s="111"/>
      <c r="AP103" s="149"/>
      <c r="AR103" s="149"/>
      <c r="AS103" s="29"/>
    </row>
    <row r="104" spans="1:45" x14ac:dyDescent="0.3">
      <c r="A104" s="86">
        <v>5</v>
      </c>
      <c r="B104" s="102" t="s">
        <v>196</v>
      </c>
      <c r="C104" s="70">
        <v>399834.06</v>
      </c>
      <c r="D104" s="7"/>
      <c r="E104" s="85">
        <v>399834.06</v>
      </c>
      <c r="F104" s="70">
        <v>387834.53</v>
      </c>
      <c r="G104" s="7"/>
      <c r="H104" s="85">
        <v>387834.53</v>
      </c>
      <c r="I104" s="70">
        <v>305205</v>
      </c>
      <c r="J104" s="7"/>
      <c r="K104" s="85">
        <v>305205</v>
      </c>
      <c r="L104" s="6">
        <v>444893.39</v>
      </c>
      <c r="M104" s="7"/>
      <c r="N104" s="85">
        <v>444893.39</v>
      </c>
      <c r="O104" s="6">
        <v>438417.33</v>
      </c>
      <c r="P104" s="7"/>
      <c r="Q104" s="85">
        <v>438417.33</v>
      </c>
      <c r="R104" s="6">
        <v>489709.52000000019</v>
      </c>
      <c r="S104" s="7"/>
      <c r="T104" s="85">
        <v>489709.52000000019</v>
      </c>
      <c r="U104" s="71">
        <v>479519.24</v>
      </c>
      <c r="V104" s="7"/>
      <c r="W104" s="198">
        <v>500000</v>
      </c>
      <c r="X104" s="71">
        <v>716204</v>
      </c>
      <c r="Y104" s="7"/>
      <c r="Z104" s="199">
        <v>550000</v>
      </c>
      <c r="AA104" s="71">
        <v>665686</v>
      </c>
      <c r="AB104" s="7"/>
      <c r="AC104" s="199">
        <v>825000</v>
      </c>
      <c r="AD104" s="51">
        <v>666948</v>
      </c>
      <c r="AE104" s="7"/>
      <c r="AF104" s="199">
        <v>750000</v>
      </c>
      <c r="AG104" s="154">
        <v>530893</v>
      </c>
      <c r="AH104" s="7"/>
      <c r="AI104" s="199">
        <v>575000</v>
      </c>
      <c r="AJ104" s="104"/>
      <c r="AK104" s="7"/>
      <c r="AL104" s="199">
        <v>550000</v>
      </c>
      <c r="AM104" s="6">
        <v>26908870.699999999</v>
      </c>
      <c r="AN104" s="111"/>
      <c r="AP104" s="149"/>
      <c r="AR104" s="149"/>
      <c r="AS104" s="29"/>
    </row>
    <row r="105" spans="1:45" x14ac:dyDescent="0.3">
      <c r="A105" s="62">
        <v>6</v>
      </c>
      <c r="B105" s="106" t="s">
        <v>195</v>
      </c>
      <c r="C105" s="70">
        <v>642171</v>
      </c>
      <c r="D105" s="7"/>
      <c r="E105" s="85">
        <v>642171</v>
      </c>
      <c r="F105" s="70">
        <v>605388.5</v>
      </c>
      <c r="G105" s="7"/>
      <c r="H105" s="85">
        <v>605388.5</v>
      </c>
      <c r="I105" s="70">
        <v>403201</v>
      </c>
      <c r="J105" s="7"/>
      <c r="K105" s="85">
        <v>403201</v>
      </c>
      <c r="L105" s="6">
        <v>509971.53</v>
      </c>
      <c r="M105" s="7"/>
      <c r="N105" s="85">
        <v>509971.53</v>
      </c>
      <c r="O105" s="6">
        <v>601508.68000000005</v>
      </c>
      <c r="P105" s="7"/>
      <c r="Q105" s="85">
        <v>601508.68000000005</v>
      </c>
      <c r="R105" s="6">
        <v>564520.72000000114</v>
      </c>
      <c r="S105" s="7"/>
      <c r="T105" s="85">
        <v>564520.72000000114</v>
      </c>
      <c r="U105" s="71">
        <v>542945.56999999995</v>
      </c>
      <c r="V105" s="7"/>
      <c r="W105" s="198">
        <v>575000</v>
      </c>
      <c r="X105" s="71">
        <v>527315.23</v>
      </c>
      <c r="Y105" s="7"/>
      <c r="Z105" s="199">
        <v>600000</v>
      </c>
      <c r="AA105" s="71">
        <v>588530.35000000033</v>
      </c>
      <c r="AB105" s="7"/>
      <c r="AC105" s="199">
        <v>600000</v>
      </c>
      <c r="AD105" s="51">
        <v>677604.23000000103</v>
      </c>
      <c r="AE105" s="7"/>
      <c r="AF105" s="199">
        <v>650000</v>
      </c>
      <c r="AG105" s="154">
        <v>655739</v>
      </c>
      <c r="AH105" s="7"/>
      <c r="AI105" s="199">
        <v>650000</v>
      </c>
      <c r="AJ105" s="104"/>
      <c r="AK105" s="7"/>
      <c r="AL105" s="199">
        <v>700000</v>
      </c>
      <c r="AM105" s="6">
        <v>36289521.379999995</v>
      </c>
      <c r="AN105" s="111"/>
      <c r="AP105" s="149"/>
      <c r="AR105" s="149"/>
      <c r="AS105" s="29"/>
    </row>
    <row r="106" spans="1:45" x14ac:dyDescent="0.3">
      <c r="A106" s="86">
        <v>7</v>
      </c>
      <c r="B106" s="102" t="s">
        <v>198</v>
      </c>
      <c r="C106" s="70"/>
      <c r="D106" s="7"/>
      <c r="E106" s="85"/>
      <c r="F106" s="70"/>
      <c r="G106" s="7"/>
      <c r="H106" s="85"/>
      <c r="I106" s="70"/>
      <c r="J106" s="7"/>
      <c r="K106" s="85"/>
      <c r="L106" s="6"/>
      <c r="M106" s="7"/>
      <c r="N106" s="85"/>
      <c r="O106" s="6">
        <v>78228</v>
      </c>
      <c r="P106" s="7"/>
      <c r="Q106" s="85">
        <v>78228</v>
      </c>
      <c r="R106" s="6">
        <v>846010</v>
      </c>
      <c r="S106" s="7"/>
      <c r="T106" s="85">
        <v>846010</v>
      </c>
      <c r="U106" s="71">
        <v>893702.5</v>
      </c>
      <c r="V106" s="7"/>
      <c r="W106" s="85">
        <v>893702.5</v>
      </c>
      <c r="X106" s="71">
        <v>957750.06</v>
      </c>
      <c r="Y106" s="7"/>
      <c r="Z106" s="85">
        <v>957750.06</v>
      </c>
      <c r="AA106" s="71">
        <v>1063491.03</v>
      </c>
      <c r="AB106" s="7"/>
      <c r="AC106" s="85">
        <v>1000000</v>
      </c>
      <c r="AD106" s="51">
        <v>1191090.0900000001</v>
      </c>
      <c r="AE106" s="7"/>
      <c r="AF106" s="85">
        <v>1200000</v>
      </c>
      <c r="AG106" s="154">
        <v>1133942</v>
      </c>
      <c r="AH106" s="7"/>
      <c r="AI106" s="85">
        <v>1133942</v>
      </c>
      <c r="AJ106" s="104"/>
      <c r="AK106" s="7"/>
      <c r="AL106" s="85">
        <v>1200000</v>
      </c>
      <c r="AM106" s="6">
        <v>8613875.4000000004</v>
      </c>
      <c r="AN106" s="111"/>
      <c r="AP106" s="149"/>
      <c r="AR106" s="149"/>
      <c r="AS106" s="29"/>
    </row>
    <row r="107" spans="1:45" x14ac:dyDescent="0.3">
      <c r="A107" s="62">
        <v>8</v>
      </c>
      <c r="B107" s="106" t="s">
        <v>197</v>
      </c>
      <c r="C107" s="70"/>
      <c r="D107" s="7"/>
      <c r="E107" s="85"/>
      <c r="F107" s="70"/>
      <c r="G107" s="7"/>
      <c r="H107" s="85"/>
      <c r="I107" s="70"/>
      <c r="J107" s="7"/>
      <c r="K107" s="85"/>
      <c r="L107" s="6"/>
      <c r="M107" s="7"/>
      <c r="N107" s="85"/>
      <c r="O107" s="6">
        <v>32015</v>
      </c>
      <c r="P107" s="7"/>
      <c r="Q107" s="85">
        <v>32015</v>
      </c>
      <c r="R107" s="6">
        <v>826303</v>
      </c>
      <c r="S107" s="7"/>
      <c r="T107" s="85">
        <v>826303</v>
      </c>
      <c r="U107" s="71">
        <v>1053229</v>
      </c>
      <c r="V107" s="7"/>
      <c r="W107" s="85">
        <v>1053229</v>
      </c>
      <c r="X107" s="71">
        <v>1097442.83</v>
      </c>
      <c r="Y107" s="7"/>
      <c r="Z107" s="85">
        <v>1097442.83</v>
      </c>
      <c r="AA107" s="71">
        <v>1110153</v>
      </c>
      <c r="AB107" s="7"/>
      <c r="AC107" s="85">
        <v>1200000</v>
      </c>
      <c r="AD107" s="51">
        <v>1081508.76</v>
      </c>
      <c r="AE107" s="7"/>
      <c r="AF107" s="85">
        <v>1200000</v>
      </c>
      <c r="AG107" s="154">
        <v>969670</v>
      </c>
      <c r="AH107" s="7"/>
      <c r="AI107" s="85">
        <v>969670</v>
      </c>
      <c r="AJ107" s="104"/>
      <c r="AK107" s="7"/>
      <c r="AL107" s="85">
        <v>1000000</v>
      </c>
      <c r="AM107" s="6">
        <v>17802988.93</v>
      </c>
      <c r="AN107" s="111"/>
      <c r="AP107" s="149"/>
      <c r="AR107" s="149"/>
      <c r="AS107" s="29"/>
    </row>
    <row r="108" spans="1:45" x14ac:dyDescent="0.3">
      <c r="A108" s="86">
        <v>9</v>
      </c>
      <c r="B108" s="102" t="s">
        <v>199</v>
      </c>
      <c r="C108" s="70"/>
      <c r="D108" s="7"/>
      <c r="E108" s="85"/>
      <c r="F108" s="70"/>
      <c r="G108" s="7"/>
      <c r="H108" s="85"/>
      <c r="I108" s="70"/>
      <c r="J108" s="7"/>
      <c r="K108" s="85"/>
      <c r="L108" s="6"/>
      <c r="M108" s="7"/>
      <c r="N108" s="85"/>
      <c r="O108" s="6"/>
      <c r="P108" s="7"/>
      <c r="Q108" s="85"/>
      <c r="R108" s="6">
        <v>404804</v>
      </c>
      <c r="S108" s="7"/>
      <c r="T108" s="85">
        <v>404804</v>
      </c>
      <c r="U108" s="71">
        <v>2762857</v>
      </c>
      <c r="V108" s="7"/>
      <c r="W108" s="85">
        <v>2762857</v>
      </c>
      <c r="X108" s="71">
        <v>3622889.15</v>
      </c>
      <c r="Y108" s="7"/>
      <c r="Z108" s="85">
        <v>3622889.15</v>
      </c>
      <c r="AA108" s="71">
        <v>1388355.07</v>
      </c>
      <c r="AB108" s="7"/>
      <c r="AC108" s="85">
        <v>1800000</v>
      </c>
      <c r="AD108" s="51">
        <v>420702</v>
      </c>
      <c r="AE108" s="7"/>
      <c r="AF108" s="85">
        <v>450000</v>
      </c>
      <c r="AG108" s="154">
        <v>292031</v>
      </c>
      <c r="AH108" s="7"/>
      <c r="AI108" s="85">
        <v>292031</v>
      </c>
      <c r="AJ108" s="104"/>
      <c r="AK108" s="7"/>
      <c r="AL108" s="85">
        <v>250000</v>
      </c>
      <c r="AM108" s="6">
        <v>23097151.900000002</v>
      </c>
      <c r="AN108" s="111"/>
      <c r="AP108" s="149"/>
      <c r="AR108" s="149"/>
      <c r="AS108" s="29"/>
    </row>
    <row r="109" spans="1:45" x14ac:dyDescent="0.3">
      <c r="A109" s="62">
        <v>10</v>
      </c>
      <c r="B109" s="106" t="s">
        <v>200</v>
      </c>
      <c r="C109" s="70"/>
      <c r="D109" s="7"/>
      <c r="E109" s="85"/>
      <c r="F109" s="70"/>
      <c r="G109" s="7"/>
      <c r="H109" s="85"/>
      <c r="I109" s="70"/>
      <c r="J109" s="7"/>
      <c r="K109" s="85"/>
      <c r="L109" s="6"/>
      <c r="M109" s="7"/>
      <c r="N109" s="85"/>
      <c r="O109" s="6"/>
      <c r="P109" s="7"/>
      <c r="Q109" s="85"/>
      <c r="R109" s="6"/>
      <c r="S109" s="7"/>
      <c r="T109" s="85"/>
      <c r="U109" s="71">
        <v>117346</v>
      </c>
      <c r="V109" s="7"/>
      <c r="W109" s="85">
        <v>117346</v>
      </c>
      <c r="X109" s="71">
        <v>170953</v>
      </c>
      <c r="Y109" s="7"/>
      <c r="Z109" s="85">
        <v>170953</v>
      </c>
      <c r="AA109" s="71">
        <v>25285</v>
      </c>
      <c r="AB109" s="7"/>
      <c r="AC109" s="85">
        <v>25285</v>
      </c>
      <c r="AD109" s="51">
        <v>0</v>
      </c>
      <c r="AE109" s="7"/>
      <c r="AF109" s="85">
        <v>0</v>
      </c>
      <c r="AG109" s="154"/>
      <c r="AH109" s="7"/>
      <c r="AI109" s="85">
        <v>0</v>
      </c>
      <c r="AJ109" s="104"/>
      <c r="AK109" s="7"/>
      <c r="AL109" s="85"/>
      <c r="AM109" s="6">
        <v>10101156.68</v>
      </c>
      <c r="AN109" s="111"/>
      <c r="AP109" s="149"/>
      <c r="AR109" s="149"/>
      <c r="AS109" s="29"/>
    </row>
    <row r="110" spans="1:45" x14ac:dyDescent="0.3">
      <c r="A110" s="86">
        <v>11</v>
      </c>
      <c r="B110" s="102" t="s">
        <v>201</v>
      </c>
      <c r="C110" s="70"/>
      <c r="D110" s="7"/>
      <c r="E110" s="85"/>
      <c r="F110" s="70"/>
      <c r="G110" s="7"/>
      <c r="H110" s="85"/>
      <c r="I110" s="70"/>
      <c r="J110" s="7"/>
      <c r="K110" s="85"/>
      <c r="L110" s="6"/>
      <c r="M110" s="7"/>
      <c r="N110" s="85"/>
      <c r="O110" s="6"/>
      <c r="P110" s="7"/>
      <c r="Q110" s="85"/>
      <c r="R110" s="6"/>
      <c r="S110" s="7"/>
      <c r="T110" s="85"/>
      <c r="U110" s="71">
        <v>113312</v>
      </c>
      <c r="V110" s="7"/>
      <c r="W110" s="85">
        <v>113312</v>
      </c>
      <c r="X110" s="71">
        <v>699084</v>
      </c>
      <c r="Y110" s="7"/>
      <c r="Z110" s="85">
        <v>699084</v>
      </c>
      <c r="AA110" s="71">
        <v>779351</v>
      </c>
      <c r="AB110" s="7"/>
      <c r="AC110" s="85">
        <v>800000</v>
      </c>
      <c r="AD110" s="51">
        <v>785299.2</v>
      </c>
      <c r="AE110" s="7"/>
      <c r="AF110" s="85">
        <v>800000</v>
      </c>
      <c r="AG110" s="154">
        <v>732208</v>
      </c>
      <c r="AH110" s="7"/>
      <c r="AI110" s="85">
        <v>732208</v>
      </c>
      <c r="AJ110" s="104"/>
      <c r="AK110" s="7"/>
      <c r="AL110" s="85">
        <v>800000</v>
      </c>
      <c r="AM110" s="6">
        <v>13154356.15</v>
      </c>
      <c r="AN110" s="111"/>
      <c r="AP110" s="149"/>
      <c r="AR110" s="149"/>
      <c r="AS110" s="29"/>
    </row>
    <row r="111" spans="1:45" x14ac:dyDescent="0.3">
      <c r="A111" s="62">
        <v>12</v>
      </c>
      <c r="B111" s="106" t="s">
        <v>203</v>
      </c>
      <c r="C111" s="70"/>
      <c r="D111" s="7"/>
      <c r="E111" s="85"/>
      <c r="F111" s="70"/>
      <c r="G111" s="7"/>
      <c r="H111" s="85"/>
      <c r="I111" s="70"/>
      <c r="J111" s="7"/>
      <c r="K111" s="85"/>
      <c r="L111" s="6"/>
      <c r="M111" s="7"/>
      <c r="N111" s="85"/>
      <c r="O111" s="6"/>
      <c r="P111" s="7"/>
      <c r="Q111" s="85"/>
      <c r="R111" s="6"/>
      <c r="S111" s="7"/>
      <c r="T111" s="85"/>
      <c r="U111" s="71"/>
      <c r="V111" s="7"/>
      <c r="W111" s="85"/>
      <c r="X111" s="71"/>
      <c r="Y111" s="7"/>
      <c r="Z111" s="85"/>
      <c r="AA111" s="71"/>
      <c r="AB111" s="7"/>
      <c r="AC111" s="85"/>
      <c r="AD111" s="51">
        <v>315372.12</v>
      </c>
      <c r="AE111" s="7"/>
      <c r="AF111" s="85">
        <v>315372.12</v>
      </c>
      <c r="AG111" s="154">
        <v>340378</v>
      </c>
      <c r="AH111" s="7"/>
      <c r="AI111" s="85">
        <v>340378</v>
      </c>
      <c r="AJ111" s="104"/>
      <c r="AK111" s="7"/>
      <c r="AL111" s="85">
        <v>300000</v>
      </c>
      <c r="AM111" s="6">
        <v>34974315.869999997</v>
      </c>
      <c r="AN111" s="111"/>
      <c r="AP111" s="149"/>
      <c r="AR111" s="149"/>
      <c r="AS111" s="29"/>
    </row>
    <row r="112" spans="1:45" x14ac:dyDescent="0.3">
      <c r="A112" s="86">
        <v>13</v>
      </c>
      <c r="B112" s="89" t="s">
        <v>204</v>
      </c>
      <c r="C112" s="70"/>
      <c r="D112" s="7"/>
      <c r="E112" s="85"/>
      <c r="F112" s="70"/>
      <c r="G112" s="7"/>
      <c r="H112" s="85"/>
      <c r="I112" s="70"/>
      <c r="J112" s="7"/>
      <c r="K112" s="85"/>
      <c r="L112" s="6"/>
      <c r="M112" s="7"/>
      <c r="N112" s="85"/>
      <c r="O112" s="6"/>
      <c r="P112" s="7"/>
      <c r="Q112" s="85"/>
      <c r="R112" s="6"/>
      <c r="S112" s="7"/>
      <c r="T112" s="85"/>
      <c r="U112" s="71"/>
      <c r="V112" s="7"/>
      <c r="W112" s="85"/>
      <c r="X112" s="71"/>
      <c r="Y112" s="7"/>
      <c r="Z112" s="85"/>
      <c r="AA112" s="71"/>
      <c r="AB112" s="7"/>
      <c r="AC112" s="85"/>
      <c r="AD112" s="51">
        <v>10769</v>
      </c>
      <c r="AE112" s="7"/>
      <c r="AF112" s="85">
        <v>10769</v>
      </c>
      <c r="AG112" s="154">
        <v>142416</v>
      </c>
      <c r="AH112" s="7"/>
      <c r="AI112" s="85">
        <v>142416</v>
      </c>
      <c r="AJ112" s="104"/>
      <c r="AK112" s="7"/>
      <c r="AL112" s="85">
        <v>150000</v>
      </c>
      <c r="AM112" s="6">
        <v>40651362.829999998</v>
      </c>
      <c r="AN112" s="111"/>
      <c r="AP112" s="149"/>
      <c r="AR112" s="149"/>
      <c r="AS112" s="29"/>
    </row>
    <row r="113" spans="1:45" x14ac:dyDescent="0.3">
      <c r="A113" s="62">
        <v>14</v>
      </c>
      <c r="B113" s="90" t="s">
        <v>205</v>
      </c>
      <c r="C113" s="70"/>
      <c r="D113" s="7"/>
      <c r="E113" s="85"/>
      <c r="F113" s="70"/>
      <c r="G113" s="7"/>
      <c r="H113" s="85"/>
      <c r="I113" s="70"/>
      <c r="J113" s="7"/>
      <c r="K113" s="85"/>
      <c r="L113" s="6"/>
      <c r="M113" s="7"/>
      <c r="N113" s="85"/>
      <c r="O113" s="6"/>
      <c r="P113" s="7"/>
      <c r="Q113" s="85"/>
      <c r="R113" s="6"/>
      <c r="S113" s="7"/>
      <c r="T113" s="85"/>
      <c r="U113" s="71"/>
      <c r="V113" s="7"/>
      <c r="W113" s="85"/>
      <c r="X113" s="71"/>
      <c r="Y113" s="7"/>
      <c r="Z113" s="85"/>
      <c r="AA113" s="71"/>
      <c r="AB113" s="7"/>
      <c r="AC113" s="85"/>
      <c r="AD113" s="51"/>
      <c r="AE113" s="7"/>
      <c r="AF113" s="85"/>
      <c r="AG113" s="154"/>
      <c r="AH113" s="7"/>
      <c r="AI113" s="85"/>
      <c r="AJ113" s="104"/>
      <c r="AK113" s="7"/>
      <c r="AL113" s="85">
        <v>1000000</v>
      </c>
      <c r="AM113" s="6">
        <v>16674576.899999999</v>
      </c>
      <c r="AN113" s="111"/>
      <c r="AP113" s="149"/>
      <c r="AR113" s="149"/>
      <c r="AS113" s="29"/>
    </row>
    <row r="114" spans="1:45" x14ac:dyDescent="0.3">
      <c r="A114" s="86">
        <v>15</v>
      </c>
      <c r="B114" s="89" t="s">
        <v>206</v>
      </c>
      <c r="C114" s="70"/>
      <c r="D114" s="7"/>
      <c r="E114" s="85"/>
      <c r="F114" s="70"/>
      <c r="G114" s="7"/>
      <c r="H114" s="85"/>
      <c r="I114" s="70"/>
      <c r="J114" s="7"/>
      <c r="K114" s="85"/>
      <c r="L114" s="6"/>
      <c r="M114" s="7"/>
      <c r="N114" s="85"/>
      <c r="O114" s="6"/>
      <c r="P114" s="7"/>
      <c r="Q114" s="85"/>
      <c r="R114" s="6"/>
      <c r="S114" s="7"/>
      <c r="T114" s="85"/>
      <c r="U114" s="71"/>
      <c r="V114" s="7"/>
      <c r="W114" s="85"/>
      <c r="X114" s="71"/>
      <c r="Y114" s="7"/>
      <c r="Z114" s="85"/>
      <c r="AA114" s="71"/>
      <c r="AB114" s="7"/>
      <c r="AC114" s="85"/>
      <c r="AD114" s="51"/>
      <c r="AE114" s="7"/>
      <c r="AF114" s="85"/>
      <c r="AG114" s="154">
        <v>855137</v>
      </c>
      <c r="AH114" s="7"/>
      <c r="AI114" s="85">
        <v>855137</v>
      </c>
      <c r="AJ114" s="104"/>
      <c r="AK114" s="7"/>
      <c r="AL114" s="85">
        <v>1000000</v>
      </c>
      <c r="AM114" s="6">
        <v>9474249.7100000009</v>
      </c>
      <c r="AN114" s="111"/>
      <c r="AP114" s="149"/>
      <c r="AR114" s="149"/>
      <c r="AS114" s="29"/>
    </row>
    <row r="115" spans="1:45" x14ac:dyDescent="0.3">
      <c r="A115" s="62">
        <v>16</v>
      </c>
      <c r="B115" s="200" t="s">
        <v>207</v>
      </c>
      <c r="C115" s="70"/>
      <c r="D115" s="7"/>
      <c r="E115" s="85"/>
      <c r="F115" s="70"/>
      <c r="G115" s="7"/>
      <c r="H115" s="85"/>
      <c r="I115" s="70"/>
      <c r="J115" s="7"/>
      <c r="K115" s="85"/>
      <c r="L115" s="6"/>
      <c r="M115" s="7"/>
      <c r="N115" s="85"/>
      <c r="O115" s="6"/>
      <c r="P115" s="7"/>
      <c r="Q115" s="85"/>
      <c r="R115" s="6"/>
      <c r="S115" s="7"/>
      <c r="T115" s="85"/>
      <c r="U115" s="71"/>
      <c r="V115" s="7"/>
      <c r="W115" s="85"/>
      <c r="X115" s="71"/>
      <c r="Y115" s="7"/>
      <c r="Z115" s="85"/>
      <c r="AA115" s="71"/>
      <c r="AB115" s="7"/>
      <c r="AC115" s="85"/>
      <c r="AD115" s="51"/>
      <c r="AE115" s="7"/>
      <c r="AF115" s="85"/>
      <c r="AG115" s="154"/>
      <c r="AH115" s="7"/>
      <c r="AI115" s="85"/>
      <c r="AJ115" s="104"/>
      <c r="AK115" s="7"/>
      <c r="AL115" s="85"/>
      <c r="AM115" s="6">
        <v>12021729.096000003</v>
      </c>
      <c r="AN115" s="111"/>
      <c r="AP115" s="149"/>
      <c r="AR115" s="149"/>
      <c r="AS115" s="29"/>
    </row>
    <row r="116" spans="1:45" x14ac:dyDescent="0.3">
      <c r="A116" s="86">
        <v>17</v>
      </c>
      <c r="B116" s="89" t="s">
        <v>208</v>
      </c>
      <c r="C116" s="70"/>
      <c r="D116" s="7"/>
      <c r="E116" s="85"/>
      <c r="F116" s="70"/>
      <c r="G116" s="7"/>
      <c r="H116" s="85"/>
      <c r="I116" s="70"/>
      <c r="J116" s="7"/>
      <c r="K116" s="85"/>
      <c r="L116" s="70"/>
      <c r="M116" s="7"/>
      <c r="N116" s="85"/>
      <c r="O116" s="6"/>
      <c r="P116" s="7"/>
      <c r="Q116" s="85"/>
      <c r="R116" s="6"/>
      <c r="S116" s="7"/>
      <c r="T116" s="85"/>
      <c r="U116" s="71"/>
      <c r="V116" s="7"/>
      <c r="W116" s="85"/>
      <c r="X116" s="71"/>
      <c r="Y116" s="7"/>
      <c r="Z116" s="85"/>
      <c r="AA116" s="71"/>
      <c r="AB116" s="7"/>
      <c r="AC116" s="85"/>
      <c r="AD116" s="51"/>
      <c r="AE116" s="7"/>
      <c r="AF116" s="85"/>
      <c r="AG116" s="154"/>
      <c r="AH116" s="7"/>
      <c r="AI116" s="85"/>
      <c r="AJ116" s="104"/>
      <c r="AK116" s="7"/>
      <c r="AL116" s="85"/>
      <c r="AM116" s="6">
        <v>12794637.653999999</v>
      </c>
      <c r="AN116" s="111"/>
      <c r="AP116" s="149"/>
      <c r="AR116" s="149"/>
      <c r="AS116" s="29"/>
    </row>
    <row r="117" spans="1:45" x14ac:dyDescent="0.3">
      <c r="A117" s="62">
        <v>18</v>
      </c>
      <c r="B117" s="106"/>
      <c r="C117" s="70"/>
      <c r="D117" s="7"/>
      <c r="E117" s="85"/>
      <c r="F117" s="70"/>
      <c r="G117" s="7"/>
      <c r="H117" s="85"/>
      <c r="I117" s="70"/>
      <c r="J117" s="7"/>
      <c r="K117" s="85"/>
      <c r="L117" s="70"/>
      <c r="M117" s="7"/>
      <c r="N117" s="85"/>
      <c r="O117" s="70"/>
      <c r="P117" s="7"/>
      <c r="Q117" s="85"/>
      <c r="R117" s="70"/>
      <c r="S117" s="7"/>
      <c r="T117" s="85"/>
      <c r="U117" s="71"/>
      <c r="V117" s="7"/>
      <c r="W117" s="85"/>
      <c r="X117" s="71"/>
      <c r="Y117" s="7"/>
      <c r="Z117" s="85"/>
      <c r="AA117" s="71"/>
      <c r="AB117" s="7"/>
      <c r="AC117" s="85"/>
      <c r="AD117" s="51"/>
      <c r="AE117" s="7"/>
      <c r="AF117" s="85"/>
      <c r="AG117" s="154"/>
      <c r="AH117" s="7"/>
      <c r="AI117" s="85"/>
      <c r="AJ117" s="104"/>
      <c r="AK117" s="7"/>
      <c r="AL117" s="85"/>
      <c r="AM117" s="6">
        <v>10087168.800000001</v>
      </c>
      <c r="AN117" s="111"/>
      <c r="AP117" s="149"/>
      <c r="AR117" s="149"/>
      <c r="AS117" s="29"/>
    </row>
    <row r="118" spans="1:45" x14ac:dyDescent="0.3">
      <c r="A118" s="86">
        <v>19</v>
      </c>
      <c r="B118" s="89"/>
      <c r="C118" s="70"/>
      <c r="D118" s="7"/>
      <c r="E118" s="85"/>
      <c r="F118" s="70"/>
      <c r="G118" s="7"/>
      <c r="H118" s="85"/>
      <c r="I118" s="70"/>
      <c r="J118" s="7"/>
      <c r="K118" s="85"/>
      <c r="L118" s="6"/>
      <c r="M118" s="7"/>
      <c r="N118" s="85"/>
      <c r="O118" s="6"/>
      <c r="P118" s="7"/>
      <c r="Q118" s="85"/>
      <c r="R118" s="6"/>
      <c r="S118" s="7"/>
      <c r="T118" s="85"/>
      <c r="U118" s="71"/>
      <c r="V118" s="7"/>
      <c r="W118" s="85"/>
      <c r="X118" s="71"/>
      <c r="Y118" s="7"/>
      <c r="Z118" s="85"/>
      <c r="AA118" s="71"/>
      <c r="AB118" s="7"/>
      <c r="AC118" s="85"/>
      <c r="AD118" s="51"/>
      <c r="AE118" s="7"/>
      <c r="AF118" s="85"/>
      <c r="AG118" s="154"/>
      <c r="AH118" s="7"/>
      <c r="AI118" s="85"/>
      <c r="AJ118" s="104"/>
      <c r="AK118" s="7"/>
      <c r="AL118" s="85"/>
      <c r="AM118" s="6">
        <v>14865994.5</v>
      </c>
      <c r="AN118" s="111"/>
      <c r="AP118" s="149"/>
      <c r="AR118" s="149"/>
      <c r="AS118" s="29"/>
    </row>
    <row r="119" spans="1:45" x14ac:dyDescent="0.3">
      <c r="A119" s="62">
        <v>20</v>
      </c>
      <c r="B119" s="90"/>
      <c r="C119" s="70"/>
      <c r="D119" s="7"/>
      <c r="E119" s="85"/>
      <c r="F119" s="70"/>
      <c r="G119" s="7"/>
      <c r="H119" s="85"/>
      <c r="I119" s="70"/>
      <c r="J119" s="7"/>
      <c r="K119" s="85"/>
      <c r="L119" s="6"/>
      <c r="M119" s="7"/>
      <c r="N119" s="85"/>
      <c r="O119" s="6"/>
      <c r="P119" s="7"/>
      <c r="Q119" s="85"/>
      <c r="R119" s="6"/>
      <c r="S119" s="7"/>
      <c r="T119" s="85"/>
      <c r="U119" s="71"/>
      <c r="V119" s="7"/>
      <c r="W119" s="85"/>
      <c r="X119" s="71"/>
      <c r="Y119" s="7"/>
      <c r="Z119" s="85"/>
      <c r="AA119" s="71"/>
      <c r="AB119" s="7"/>
      <c r="AC119" s="85"/>
      <c r="AD119" s="51"/>
      <c r="AE119" s="7"/>
      <c r="AF119" s="85"/>
      <c r="AG119" s="154"/>
      <c r="AH119" s="7"/>
      <c r="AI119" s="85"/>
      <c r="AJ119" s="104"/>
      <c r="AK119" s="7"/>
      <c r="AL119" s="85"/>
      <c r="AM119" s="6">
        <v>5816492.4000000004</v>
      </c>
      <c r="AN119" s="111"/>
      <c r="AP119" s="149"/>
      <c r="AR119" s="149"/>
      <c r="AS119" s="29"/>
    </row>
    <row r="120" spans="1:45" x14ac:dyDescent="0.3">
      <c r="A120" s="86">
        <v>21</v>
      </c>
      <c r="B120" s="89"/>
      <c r="C120" s="70"/>
      <c r="D120" s="7"/>
      <c r="E120" s="85"/>
      <c r="F120" s="70"/>
      <c r="G120" s="7"/>
      <c r="H120" s="85"/>
      <c r="I120" s="70"/>
      <c r="J120" s="7"/>
      <c r="K120" s="85"/>
      <c r="L120" s="6"/>
      <c r="M120" s="7"/>
      <c r="N120" s="85"/>
      <c r="O120" s="6"/>
      <c r="P120" s="7"/>
      <c r="Q120" s="85"/>
      <c r="R120" s="6"/>
      <c r="S120" s="7"/>
      <c r="T120" s="85"/>
      <c r="U120" s="71"/>
      <c r="V120" s="7"/>
      <c r="W120" s="85"/>
      <c r="X120" s="71"/>
      <c r="Y120" s="7"/>
      <c r="Z120" s="85"/>
      <c r="AA120" s="71"/>
      <c r="AB120" s="7"/>
      <c r="AC120" s="85"/>
      <c r="AD120" s="51"/>
      <c r="AE120" s="7"/>
      <c r="AF120" s="85"/>
      <c r="AG120" s="154"/>
      <c r="AH120" s="7"/>
      <c r="AI120" s="85"/>
      <c r="AJ120" s="104"/>
      <c r="AK120" s="7"/>
      <c r="AL120" s="85"/>
      <c r="AM120" s="6">
        <v>10027011.75</v>
      </c>
      <c r="AN120" s="111"/>
      <c r="AP120" s="149"/>
      <c r="AR120" s="149"/>
      <c r="AS120" s="29"/>
    </row>
    <row r="121" spans="1:45" x14ac:dyDescent="0.3">
      <c r="A121" s="62">
        <v>22</v>
      </c>
      <c r="B121" s="90"/>
      <c r="C121" s="70"/>
      <c r="D121" s="7"/>
      <c r="E121" s="85"/>
      <c r="F121" s="70"/>
      <c r="G121" s="7"/>
      <c r="H121" s="85"/>
      <c r="I121" s="70"/>
      <c r="J121" s="7"/>
      <c r="K121" s="85"/>
      <c r="L121" s="6"/>
      <c r="M121" s="7"/>
      <c r="N121" s="85"/>
      <c r="O121" s="6"/>
      <c r="P121" s="7"/>
      <c r="Q121" s="85"/>
      <c r="R121" s="6"/>
      <c r="S121" s="7"/>
      <c r="T121" s="85"/>
      <c r="U121" s="71"/>
      <c r="V121" s="7"/>
      <c r="W121" s="85"/>
      <c r="X121" s="71"/>
      <c r="Y121" s="7"/>
      <c r="Z121" s="85"/>
      <c r="AA121" s="71"/>
      <c r="AB121" s="7"/>
      <c r="AC121" s="85"/>
      <c r="AD121" s="51"/>
      <c r="AE121" s="7"/>
      <c r="AF121" s="85"/>
      <c r="AG121" s="154"/>
      <c r="AH121" s="7"/>
      <c r="AI121" s="85"/>
      <c r="AJ121" s="104"/>
      <c r="AK121" s="7"/>
      <c r="AL121" s="85"/>
      <c r="AM121" s="6">
        <v>7813913.5000000009</v>
      </c>
      <c r="AN121" s="111"/>
      <c r="AP121" s="149"/>
      <c r="AR121" s="149"/>
      <c r="AS121" s="29"/>
    </row>
    <row r="122" spans="1:45" x14ac:dyDescent="0.3">
      <c r="A122" s="86">
        <v>23</v>
      </c>
      <c r="B122" s="89"/>
      <c r="C122" s="70"/>
      <c r="D122" s="7"/>
      <c r="E122" s="85"/>
      <c r="F122" s="70"/>
      <c r="G122" s="7"/>
      <c r="H122" s="85"/>
      <c r="I122" s="70"/>
      <c r="J122" s="7"/>
      <c r="K122" s="85"/>
      <c r="L122" s="6"/>
      <c r="M122" s="7"/>
      <c r="N122" s="85"/>
      <c r="O122" s="6"/>
      <c r="P122" s="7"/>
      <c r="Q122" s="85"/>
      <c r="R122" s="6"/>
      <c r="S122" s="7"/>
      <c r="T122" s="85"/>
      <c r="U122" s="71"/>
      <c r="V122" s="7"/>
      <c r="W122" s="85"/>
      <c r="X122" s="71"/>
      <c r="Y122" s="7"/>
      <c r="Z122" s="85"/>
      <c r="AA122" s="71"/>
      <c r="AB122" s="7"/>
      <c r="AC122" s="85"/>
      <c r="AD122" s="51"/>
      <c r="AE122" s="7"/>
      <c r="AF122" s="85"/>
      <c r="AG122" s="154"/>
      <c r="AH122" s="7"/>
      <c r="AI122" s="85"/>
      <c r="AJ122" s="104"/>
      <c r="AK122" s="7"/>
      <c r="AL122" s="85"/>
      <c r="AM122" s="6">
        <v>11122046.800000001</v>
      </c>
      <c r="AN122" s="111"/>
      <c r="AP122" s="149"/>
      <c r="AR122" s="149"/>
      <c r="AS122" s="29"/>
    </row>
    <row r="123" spans="1:45" x14ac:dyDescent="0.3">
      <c r="A123" s="62">
        <v>24</v>
      </c>
      <c r="B123" s="90"/>
      <c r="C123" s="70"/>
      <c r="D123" s="7"/>
      <c r="E123" s="85"/>
      <c r="F123" s="70"/>
      <c r="G123" s="7"/>
      <c r="H123" s="85"/>
      <c r="I123" s="70"/>
      <c r="J123" s="7"/>
      <c r="K123" s="85"/>
      <c r="L123" s="6"/>
      <c r="M123" s="7"/>
      <c r="N123" s="85"/>
      <c r="O123" s="6"/>
      <c r="P123" s="7"/>
      <c r="Q123" s="85"/>
      <c r="R123" s="6"/>
      <c r="S123" s="7"/>
      <c r="T123" s="85"/>
      <c r="U123" s="71"/>
      <c r="V123" s="7"/>
      <c r="W123" s="85"/>
      <c r="X123" s="71"/>
      <c r="Y123" s="7"/>
      <c r="Z123" s="85"/>
      <c r="AA123" s="71"/>
      <c r="AB123" s="7"/>
      <c r="AC123" s="85"/>
      <c r="AD123" s="51"/>
      <c r="AE123" s="7"/>
      <c r="AF123" s="85"/>
      <c r="AG123" s="154"/>
      <c r="AH123" s="7"/>
      <c r="AI123" s="85"/>
      <c r="AJ123" s="104"/>
      <c r="AK123" s="7"/>
      <c r="AL123" s="85"/>
      <c r="AM123" s="6">
        <v>13967441.02</v>
      </c>
      <c r="AN123" s="111"/>
      <c r="AP123" s="149"/>
      <c r="AR123" s="149"/>
      <c r="AS123" s="29"/>
    </row>
    <row r="124" spans="1:45" ht="15" thickBot="1" x14ac:dyDescent="0.35">
      <c r="A124" s="86">
        <v>25</v>
      </c>
      <c r="B124" s="89"/>
      <c r="C124" s="70"/>
      <c r="D124" s="7"/>
      <c r="E124" s="85"/>
      <c r="F124" s="70"/>
      <c r="G124" s="7"/>
      <c r="H124" s="85"/>
      <c r="I124" s="70"/>
      <c r="J124" s="7"/>
      <c r="K124" s="85"/>
      <c r="L124" s="6"/>
      <c r="M124" s="7"/>
      <c r="N124" s="85"/>
      <c r="O124" s="6"/>
      <c r="P124" s="7"/>
      <c r="Q124" s="85"/>
      <c r="R124" s="6"/>
      <c r="S124" s="7"/>
      <c r="T124" s="85"/>
      <c r="U124" s="71"/>
      <c r="V124" s="7"/>
      <c r="W124" s="85"/>
      <c r="X124" s="71"/>
      <c r="Y124" s="7"/>
      <c r="Z124" s="85"/>
      <c r="AA124" s="71"/>
      <c r="AB124" s="7"/>
      <c r="AC124" s="85"/>
      <c r="AD124" s="51"/>
      <c r="AE124" s="7"/>
      <c r="AF124" s="85"/>
      <c r="AG124" s="154"/>
      <c r="AH124" s="7"/>
      <c r="AI124" s="85"/>
      <c r="AJ124" s="104"/>
      <c r="AK124" s="7"/>
      <c r="AL124" s="85"/>
      <c r="AM124" s="6">
        <v>14260888.800000001</v>
      </c>
      <c r="AN124" s="111"/>
      <c r="AP124" s="149"/>
      <c r="AR124" s="149"/>
      <c r="AS124" s="29"/>
    </row>
    <row r="125" spans="1:45" ht="16.2" thickBot="1" x14ac:dyDescent="0.35">
      <c r="A125" s="287" t="s">
        <v>21</v>
      </c>
      <c r="B125" s="288"/>
      <c r="C125" s="77">
        <f>SUM(C100:C124)</f>
        <v>3484856.81</v>
      </c>
      <c r="D125" s="152"/>
      <c r="E125" s="50">
        <f>SUM(E100:E124)</f>
        <v>3484856.81</v>
      </c>
      <c r="F125" s="80">
        <f>SUM(F100:F124)</f>
        <v>4604196.53</v>
      </c>
      <c r="G125" s="81"/>
      <c r="H125" s="50">
        <f>SUM(H100:H124)</f>
        <v>4604196.53</v>
      </c>
      <c r="I125" s="139">
        <f>SUM(I100:I124)</f>
        <v>3351315.5</v>
      </c>
      <c r="J125" s="82"/>
      <c r="K125" s="50">
        <f>SUM(K100:K124)</f>
        <v>3351315.5</v>
      </c>
      <c r="L125" s="80">
        <f>SUM(L100:L124)</f>
        <v>5591036.46</v>
      </c>
      <c r="M125" s="50"/>
      <c r="N125" s="50">
        <f>SUM(N100:N124)</f>
        <v>5591036.46</v>
      </c>
      <c r="O125" s="50">
        <f>SUM(O100:O124)</f>
        <v>6185135.8399999999</v>
      </c>
      <c r="P125" s="50"/>
      <c r="Q125" s="50">
        <f>SUM(Q100:Q124)</f>
        <v>6185135.8399999999</v>
      </c>
      <c r="R125" s="50">
        <f>SUM(R100:R124)</f>
        <v>8139609.2800000049</v>
      </c>
      <c r="S125" s="50"/>
      <c r="T125" s="50">
        <f>SUM(T100:T124)</f>
        <v>8139609.2800000049</v>
      </c>
      <c r="U125" s="50">
        <f>SUM(U100:U124)</f>
        <v>11922053.33</v>
      </c>
      <c r="V125" s="50"/>
      <c r="W125" s="50">
        <f>SUM(W100:W124)</f>
        <v>11615446.5</v>
      </c>
      <c r="X125" s="50">
        <f>SUM(X100:X124)</f>
        <v>14294953.799999991</v>
      </c>
      <c r="Y125" s="50"/>
      <c r="Z125" s="50">
        <f>SUM(Z100:Z124)</f>
        <v>14248119.040000001</v>
      </c>
      <c r="AA125" s="50">
        <f>SUM(AA100:AA124)</f>
        <v>12236340.670000002</v>
      </c>
      <c r="AB125" s="50"/>
      <c r="AC125" s="50">
        <f>SUM(AC100:AC124)</f>
        <v>13100285</v>
      </c>
      <c r="AD125" s="170">
        <f>SUM(AD100:AD124)</f>
        <v>11950011.779999999</v>
      </c>
      <c r="AE125" s="50"/>
      <c r="AF125" s="50">
        <f>SUM(AF100:AF124)</f>
        <v>12276141.119999999</v>
      </c>
      <c r="AG125" s="50">
        <f>SUM(AG100:AG124)</f>
        <v>12055055.09</v>
      </c>
      <c r="AH125" s="50"/>
      <c r="AI125" s="50">
        <f>SUM(AI100:AI124)</f>
        <v>12140782</v>
      </c>
      <c r="AJ125" s="50">
        <f>SUM(AJ100:AJ124)</f>
        <v>0</v>
      </c>
      <c r="AK125" s="50"/>
      <c r="AL125" s="50">
        <f>SUM(AL100:AL124)</f>
        <v>13475000</v>
      </c>
      <c r="AM125" s="72">
        <f>AJ125+AG125+AD125+AA125+X125+U125+R125+O125+L125+I125+F125+C125</f>
        <v>93814565.089999989</v>
      </c>
      <c r="AN125" s="111"/>
      <c r="AP125" s="149"/>
      <c r="AR125" s="149"/>
      <c r="AS125" s="29"/>
    </row>
    <row r="126" spans="1:45" x14ac:dyDescent="0.3">
      <c r="B126" s="142" t="s">
        <v>191</v>
      </c>
      <c r="E126" s="28">
        <v>3484856.81</v>
      </c>
      <c r="H126" s="28">
        <v>4604196.53</v>
      </c>
      <c r="K126" s="28">
        <v>3351315.5</v>
      </c>
      <c r="N126" s="28">
        <v>5591036</v>
      </c>
      <c r="Q126" s="28">
        <v>6185136</v>
      </c>
      <c r="T126" s="28">
        <v>8139609.2800000049</v>
      </c>
      <c r="W126" s="28">
        <v>11922053.33</v>
      </c>
      <c r="Z126" s="28">
        <v>14294954</v>
      </c>
      <c r="AC126" s="28">
        <v>12236340.670000002</v>
      </c>
      <c r="AF126" s="28">
        <v>11950011.779999999</v>
      </c>
      <c r="AI126" s="28">
        <v>12055055</v>
      </c>
      <c r="AN126" s="111"/>
      <c r="AP126" s="149"/>
      <c r="AR126" s="149"/>
      <c r="AS126" s="29"/>
    </row>
    <row r="127" spans="1:45" x14ac:dyDescent="0.3">
      <c r="B127" s="142" t="s">
        <v>192</v>
      </c>
      <c r="E127" s="28">
        <f>E126-E125</f>
        <v>0</v>
      </c>
      <c r="H127" s="28">
        <f>H126-H125</f>
        <v>0</v>
      </c>
      <c r="K127" s="28">
        <f>K126-K125</f>
        <v>0</v>
      </c>
      <c r="N127" s="28">
        <f>N126-N125</f>
        <v>-0.4599999999627471</v>
      </c>
      <c r="Q127" s="28">
        <f>Q126-Q125</f>
        <v>0.16000000014901161</v>
      </c>
      <c r="T127" s="28">
        <f>T126-T125</f>
        <v>0</v>
      </c>
      <c r="W127" s="28">
        <f>W126-W125</f>
        <v>306606.83000000007</v>
      </c>
      <c r="Z127" s="28">
        <f>Z126-Z125</f>
        <v>46834.959999999031</v>
      </c>
      <c r="AC127" s="28">
        <f>AC126-AC125</f>
        <v>-863944.32999999821</v>
      </c>
      <c r="AF127" s="28">
        <f>AF126-AF125</f>
        <v>-326129.33999999985</v>
      </c>
      <c r="AI127" s="28">
        <f>AI126-AI125</f>
        <v>-85727</v>
      </c>
      <c r="AN127" s="111"/>
      <c r="AP127" s="149"/>
      <c r="AR127" s="149"/>
      <c r="AS127" s="29"/>
    </row>
    <row r="128" spans="1:45" x14ac:dyDescent="0.3">
      <c r="B128" s="52" t="s">
        <v>193</v>
      </c>
      <c r="E128" s="28">
        <f>E125+E94</f>
        <v>153990914.41678712</v>
      </c>
      <c r="H128" s="28">
        <f>H125+H94</f>
        <v>149281583.90200397</v>
      </c>
      <c r="K128" s="28">
        <f>K125+K94</f>
        <v>106508896.75802326</v>
      </c>
      <c r="N128" s="28">
        <f>N125+N94</f>
        <v>164031260.43643281</v>
      </c>
      <c r="Q128" s="28">
        <f>Q125+Q94</f>
        <v>185146581.45126781</v>
      </c>
      <c r="T128" s="28">
        <f>T125+T94</f>
        <v>199572164.21255216</v>
      </c>
      <c r="W128" s="28">
        <f>W125+W94</f>
        <v>226983666.14589801</v>
      </c>
      <c r="Z128" s="28">
        <f>Z125+Z94</f>
        <v>240652372.33090216</v>
      </c>
      <c r="AC128" s="28">
        <f>AC125+AC94</f>
        <v>220569017.57270312</v>
      </c>
      <c r="AF128" s="28">
        <f>AF125+AF94</f>
        <v>219521429.18896806</v>
      </c>
      <c r="AI128" s="28">
        <f>AI125+AI94</f>
        <v>205852096.07371488</v>
      </c>
    </row>
    <row r="129" spans="2:43" x14ac:dyDescent="0.3">
      <c r="B129" s="52" t="s">
        <v>194</v>
      </c>
      <c r="E129" s="28" t="e">
        <f>E126+#REF!</f>
        <v>#REF!</v>
      </c>
      <c r="H129" s="28" t="e">
        <f>H126+#REF!</f>
        <v>#REF!</v>
      </c>
      <c r="K129" s="28" t="e">
        <f>K126+#REF!</f>
        <v>#REF!</v>
      </c>
      <c r="N129" s="28" t="e">
        <f>N126+#REF!</f>
        <v>#REF!</v>
      </c>
      <c r="Q129" s="28" t="e">
        <f>Q126+#REF!</f>
        <v>#REF!</v>
      </c>
      <c r="T129" s="28" t="e">
        <f>T126+#REF!</f>
        <v>#REF!</v>
      </c>
      <c r="W129" s="28" t="e">
        <f>W126+#REF!</f>
        <v>#REF!</v>
      </c>
      <c r="Z129" s="28" t="e">
        <f>Z126+#REF!</f>
        <v>#REF!</v>
      </c>
      <c r="AC129" s="28" t="e">
        <f>AC126+#REF!</f>
        <v>#REF!</v>
      </c>
      <c r="AF129" s="28" t="e">
        <f>AF126+#REF!</f>
        <v>#REF!</v>
      </c>
      <c r="AI129" s="28" t="e">
        <f>AI126+#REF!</f>
        <v>#REF!</v>
      </c>
      <c r="AQ129"/>
    </row>
    <row r="130" spans="2:43" x14ac:dyDescent="0.3">
      <c r="B130" s="142" t="s">
        <v>192</v>
      </c>
      <c r="D130" s="184" t="e">
        <f>E130/E128</f>
        <v>#REF!</v>
      </c>
      <c r="E130" s="28" t="e">
        <f>E129-E128</f>
        <v>#REF!</v>
      </c>
      <c r="G130" s="184" t="e">
        <f>H130/H128</f>
        <v>#REF!</v>
      </c>
      <c r="H130" s="28" t="e">
        <f>H129-H128</f>
        <v>#REF!</v>
      </c>
      <c r="J130" s="184" t="e">
        <f>K130/K128</f>
        <v>#REF!</v>
      </c>
      <c r="K130" s="28" t="e">
        <f>K129-K128</f>
        <v>#REF!</v>
      </c>
      <c r="M130" s="184" t="e">
        <f>N130/N128</f>
        <v>#REF!</v>
      </c>
      <c r="N130" s="28" t="e">
        <f>N129-N128</f>
        <v>#REF!</v>
      </c>
      <c r="P130" s="184" t="e">
        <f>Q130/Q128</f>
        <v>#REF!</v>
      </c>
      <c r="Q130" s="28" t="e">
        <f>Q129-Q128</f>
        <v>#REF!</v>
      </c>
      <c r="S130" s="184" t="e">
        <f>T130/T128</f>
        <v>#REF!</v>
      </c>
      <c r="T130" s="28" t="e">
        <f>T129-T128</f>
        <v>#REF!</v>
      </c>
      <c r="V130" s="184" t="e">
        <f>W130/W128</f>
        <v>#REF!</v>
      </c>
      <c r="W130" s="28" t="e">
        <f>W129-W128</f>
        <v>#REF!</v>
      </c>
      <c r="Y130" s="184" t="e">
        <f>Z130/Z128</f>
        <v>#REF!</v>
      </c>
      <c r="Z130" s="28" t="e">
        <f>Z129-Z128</f>
        <v>#REF!</v>
      </c>
      <c r="AB130" s="184" t="e">
        <f>AC130/AC128</f>
        <v>#REF!</v>
      </c>
      <c r="AC130" s="28" t="e">
        <f>AC129-AC128</f>
        <v>#REF!</v>
      </c>
      <c r="AE130" s="184" t="e">
        <f>AF130/AF128</f>
        <v>#REF!</v>
      </c>
      <c r="AF130" s="28" t="e">
        <f>AF129-AF128</f>
        <v>#REF!</v>
      </c>
      <c r="AH130" s="184" t="e">
        <f>AI130/AI128</f>
        <v>#REF!</v>
      </c>
      <c r="AI130" s="28" t="e">
        <f>AI129-AI128</f>
        <v>#REF!</v>
      </c>
      <c r="AQ130"/>
    </row>
  </sheetData>
  <mergeCells count="3">
    <mergeCell ref="K1:Q2"/>
    <mergeCell ref="A94:B94"/>
    <mergeCell ref="A125:B12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130"/>
  <sheetViews>
    <sheetView topLeftCell="B46" workbookViewId="0">
      <pane xSplit="1" topLeftCell="X1" activePane="topRight" state="frozen"/>
      <selection activeCell="B1" sqref="B1"/>
      <selection pane="topRight" activeCell="AL74" sqref="AL74"/>
    </sheetView>
  </sheetViews>
  <sheetFormatPr defaultRowHeight="14.4" x14ac:dyDescent="0.3"/>
  <cols>
    <col min="1" max="1" width="5.6640625" hidden="1" customWidth="1"/>
    <col min="2" max="2" width="27.44140625" customWidth="1"/>
    <col min="3" max="3" width="14.44140625" customWidth="1"/>
    <col min="4" max="4" width="7.5546875" customWidth="1"/>
    <col min="5" max="5" width="15.5546875" customWidth="1"/>
    <col min="6" max="6" width="14.44140625" customWidth="1"/>
    <col min="7" max="7" width="8.33203125" customWidth="1"/>
    <col min="8" max="8" width="15.5546875" customWidth="1"/>
    <col min="9" max="9" width="14.44140625" customWidth="1"/>
    <col min="10" max="10" width="7.88671875" customWidth="1"/>
    <col min="11" max="11" width="15.5546875" customWidth="1"/>
    <col min="12" max="12" width="14.44140625" customWidth="1"/>
    <col min="13" max="13" width="8.33203125" customWidth="1"/>
    <col min="14" max="14" width="16" customWidth="1"/>
    <col min="15" max="15" width="13.88671875" customWidth="1"/>
    <col min="16" max="16" width="7.5546875" customWidth="1"/>
    <col min="17" max="18" width="13.88671875" customWidth="1"/>
    <col min="19" max="19" width="7.6640625" customWidth="1"/>
    <col min="20" max="20" width="14.33203125" customWidth="1"/>
    <col min="21" max="21" width="13.88671875" customWidth="1"/>
    <col min="22" max="22" width="8" customWidth="1"/>
    <col min="23" max="24" width="13.88671875" customWidth="1"/>
    <col min="25" max="25" width="9.44140625" customWidth="1"/>
    <col min="26" max="26" width="10.88671875" bestFit="1" customWidth="1"/>
    <col min="27" max="27" width="8.88671875" customWidth="1"/>
    <col min="28" max="28" width="8" customWidth="1"/>
    <col min="29" max="30" width="8.88671875" customWidth="1"/>
    <col min="31" max="31" width="8" customWidth="1"/>
    <col min="32" max="33" width="8.88671875" customWidth="1"/>
    <col min="34" max="34" width="7.88671875" customWidth="1"/>
    <col min="35" max="35" width="13.44140625" customWidth="1"/>
    <col min="36" max="36" width="8.88671875" customWidth="1"/>
    <col min="37" max="37" width="8.33203125" customWidth="1"/>
    <col min="38" max="38" width="10.88671875" bestFit="1" customWidth="1"/>
    <col min="39" max="39" width="17.109375" customWidth="1"/>
    <col min="40" max="40" width="17.33203125" customWidth="1"/>
    <col min="41" max="41" width="17.6640625" customWidth="1"/>
    <col min="42" max="42" width="17.33203125" customWidth="1"/>
    <col min="43" max="43" width="12" style="52" customWidth="1"/>
    <col min="44" max="44" width="16.5546875" customWidth="1"/>
    <col min="45" max="45" width="15.5546875" customWidth="1"/>
    <col min="46" max="46" width="13.109375" customWidth="1"/>
    <col min="47" max="50" width="13.5546875" customWidth="1"/>
    <col min="51" max="51" width="8.88671875" customWidth="1"/>
    <col min="52" max="52" width="10.6640625" customWidth="1"/>
    <col min="53" max="53" width="12.109375" customWidth="1"/>
    <col min="55" max="55" width="10.6640625" bestFit="1" customWidth="1"/>
    <col min="56" max="56" width="10.6640625" customWidth="1"/>
    <col min="57" max="57" width="12.109375" customWidth="1"/>
    <col min="58" max="58" width="9.77734375" customWidth="1"/>
    <col min="59" max="59" width="13.5546875" customWidth="1"/>
    <col min="60" max="60" width="9.5546875" customWidth="1"/>
    <col min="61" max="61" width="13" customWidth="1"/>
    <col min="62" max="62" width="12.88671875" customWidth="1"/>
    <col min="63" max="63" width="13.109375" customWidth="1"/>
  </cols>
  <sheetData>
    <row r="1" spans="1:63" ht="33.75" customHeight="1" thickBot="1" x14ac:dyDescent="0.35">
      <c r="E1" s="29"/>
      <c r="K1" s="281"/>
      <c r="L1" s="282"/>
      <c r="M1" s="282"/>
      <c r="N1" s="282"/>
      <c r="O1" s="282"/>
      <c r="P1" s="282"/>
      <c r="Q1" s="283"/>
      <c r="AI1" s="29"/>
      <c r="AJ1" s="29"/>
      <c r="AK1" s="29"/>
    </row>
    <row r="2" spans="1:63" ht="33.75" customHeight="1" thickBot="1" x14ac:dyDescent="0.35">
      <c r="K2" s="284"/>
      <c r="L2" s="285"/>
      <c r="M2" s="285"/>
      <c r="N2" s="285"/>
      <c r="O2" s="285"/>
      <c r="P2" s="285"/>
      <c r="Q2" s="286"/>
      <c r="BC2" s="256" t="s">
        <v>283</v>
      </c>
      <c r="BG2" s="256" t="s">
        <v>287</v>
      </c>
      <c r="BK2" s="256" t="s">
        <v>292</v>
      </c>
    </row>
    <row r="3" spans="1:63" ht="47.4" thickBot="1" x14ac:dyDescent="0.35">
      <c r="A3" s="66" t="s">
        <v>0</v>
      </c>
      <c r="B3" s="69" t="s">
        <v>1</v>
      </c>
      <c r="C3" s="19" t="s">
        <v>262</v>
      </c>
      <c r="D3" s="19"/>
      <c r="E3" s="20" t="s">
        <v>209</v>
      </c>
      <c r="F3" s="21" t="s">
        <v>271</v>
      </c>
      <c r="G3" s="21"/>
      <c r="H3" s="22" t="s">
        <v>210</v>
      </c>
      <c r="I3" s="19" t="s">
        <v>263</v>
      </c>
      <c r="J3" s="19"/>
      <c r="K3" s="20" t="s">
        <v>211</v>
      </c>
      <c r="L3" s="21" t="s">
        <v>264</v>
      </c>
      <c r="M3" s="21"/>
      <c r="N3" s="22" t="s">
        <v>212</v>
      </c>
      <c r="O3" s="21" t="s">
        <v>265</v>
      </c>
      <c r="P3" s="21"/>
      <c r="Q3" s="22" t="s">
        <v>213</v>
      </c>
      <c r="R3" s="19" t="s">
        <v>266</v>
      </c>
      <c r="S3" s="19"/>
      <c r="T3" s="20" t="s">
        <v>214</v>
      </c>
      <c r="U3" s="19" t="s">
        <v>272</v>
      </c>
      <c r="V3" s="19"/>
      <c r="W3" s="20" t="s">
        <v>215</v>
      </c>
      <c r="X3" s="19" t="s">
        <v>267</v>
      </c>
      <c r="Y3" s="19"/>
      <c r="Z3" s="20" t="s">
        <v>216</v>
      </c>
      <c r="AA3" s="19" t="s">
        <v>268</v>
      </c>
      <c r="AB3" s="19"/>
      <c r="AC3" s="20" t="s">
        <v>217</v>
      </c>
      <c r="AD3" s="19" t="s">
        <v>269</v>
      </c>
      <c r="AE3" s="19"/>
      <c r="AF3" s="20" t="s">
        <v>218</v>
      </c>
      <c r="AG3" s="19" t="s">
        <v>273</v>
      </c>
      <c r="AH3" s="19"/>
      <c r="AI3" s="20" t="s">
        <v>219</v>
      </c>
      <c r="AJ3" s="19" t="s">
        <v>270</v>
      </c>
      <c r="AK3" s="19"/>
      <c r="AL3" s="20" t="s">
        <v>220</v>
      </c>
      <c r="AM3" s="23" t="s">
        <v>37</v>
      </c>
      <c r="AN3" s="23" t="s">
        <v>38</v>
      </c>
      <c r="AO3" s="23" t="s">
        <v>39</v>
      </c>
      <c r="AP3" s="23" t="s">
        <v>154</v>
      </c>
      <c r="AQ3" s="236" t="s">
        <v>127</v>
      </c>
      <c r="AR3" s="23" t="s">
        <v>107</v>
      </c>
      <c r="AS3" s="238" t="s">
        <v>126</v>
      </c>
      <c r="AT3" s="24" t="s">
        <v>40</v>
      </c>
      <c r="AZ3" s="252" t="s">
        <v>279</v>
      </c>
      <c r="BA3" s="255" t="s">
        <v>275</v>
      </c>
      <c r="BB3" s="252" t="s">
        <v>282</v>
      </c>
      <c r="BC3" s="252" t="s">
        <v>284</v>
      </c>
      <c r="BD3" s="254" t="s">
        <v>285</v>
      </c>
      <c r="BE3" s="255" t="s">
        <v>286</v>
      </c>
      <c r="BF3" s="254" t="s">
        <v>289</v>
      </c>
      <c r="BG3" s="254" t="s">
        <v>288</v>
      </c>
      <c r="BH3" s="254" t="s">
        <v>289</v>
      </c>
      <c r="BI3" s="255" t="s">
        <v>290</v>
      </c>
      <c r="BJ3" s="254" t="s">
        <v>291</v>
      </c>
      <c r="BK3" s="254" t="s">
        <v>293</v>
      </c>
    </row>
    <row r="4" spans="1:63" x14ac:dyDescent="0.3">
      <c r="A4" s="239">
        <v>1</v>
      </c>
      <c r="B4" s="89" t="s">
        <v>5</v>
      </c>
      <c r="C4" s="70">
        <f>VLOOKUP(B4,[3]AKSoftSalesReport!$B$2:$C$87,2,0)</f>
        <v>5317932.709999959</v>
      </c>
      <c r="D4" s="7">
        <f>C4/AO4</f>
        <v>8.2253462460508436E-2</v>
      </c>
      <c r="E4" s="85">
        <f>D4*AR4</f>
        <v>6275116.6511121886</v>
      </c>
      <c r="F4" s="70">
        <v>4084938.4199999995</v>
      </c>
      <c r="G4" s="7">
        <f>F4/AO4</f>
        <v>6.3182508562234369E-2</v>
      </c>
      <c r="H4" s="85">
        <f>G4*AR4</f>
        <v>4820193.57821286</v>
      </c>
      <c r="I4" s="70">
        <v>4256829.66</v>
      </c>
      <c r="J4" s="7">
        <f>I4/AO4</f>
        <v>6.5841182604883239E-2</v>
      </c>
      <c r="K4" s="85">
        <f>J4*AR4</f>
        <v>5023023.8209265424</v>
      </c>
      <c r="L4" s="6">
        <v>5232532.089999998</v>
      </c>
      <c r="M4" s="7">
        <f>L4/AO4</f>
        <v>8.0932555056384664E-2</v>
      </c>
      <c r="N4" s="85">
        <f>M4*AR4</f>
        <v>6174344.6252515856</v>
      </c>
      <c r="O4" s="6">
        <v>5484560.1599999852</v>
      </c>
      <c r="P4" s="7">
        <f>O4/AO4</f>
        <v>8.4830720476145788E-2</v>
      </c>
      <c r="Q4" s="85">
        <f>P4*AR4</f>
        <v>6471735.6651251623</v>
      </c>
      <c r="R4" s="6">
        <v>5880309.6299999375</v>
      </c>
      <c r="S4" s="7">
        <f>R4/AO4</f>
        <v>9.095185174078102E-2</v>
      </c>
      <c r="T4" s="85">
        <f>S4*AR4</f>
        <v>6938716.7693041842</v>
      </c>
      <c r="U4" s="71">
        <f>VLOOKUP(B4,[9]AKSoftSalesReport!$B$2:$C$94,2,0)</f>
        <v>6182323.3199999835</v>
      </c>
      <c r="V4" s="7">
        <f>U4/AO4</f>
        <v>9.562315411853875E-2</v>
      </c>
      <c r="W4" s="85">
        <f>V4*AR4</f>
        <v>7295090.427703321</v>
      </c>
      <c r="X4" s="71">
        <f>VLOOKUP(B4,[10]AKSoftSalesReport!$B$2:$C$94,2,0)</f>
        <v>5424877.4699999643</v>
      </c>
      <c r="Y4" s="7">
        <f>X4/AO4</f>
        <v>8.3907597118035651E-2</v>
      </c>
      <c r="Z4" s="85">
        <f>Y4*AR4</f>
        <v>6401310.5841349401</v>
      </c>
      <c r="AA4" s="71">
        <f>VLOOKUP(B4,[11]AKSoftSalesReport!$B$2:$C$94,2,0)</f>
        <v>5503797.0399999795</v>
      </c>
      <c r="AB4" s="7">
        <f>AA4/AO4</f>
        <v>8.5128260906464026E-2</v>
      </c>
      <c r="AC4" s="85">
        <f>AB4*AR4</f>
        <v>6494435.0245541409</v>
      </c>
      <c r="AD4" s="51">
        <f>VLOOKUP(B4,[12]AKSoftSalesReport!$B$2:$C$89,2,0)</f>
        <v>5873879.8899999503</v>
      </c>
      <c r="AE4" s="7">
        <f>AD4/AO4</f>
        <v>9.0852401746476796E-2</v>
      </c>
      <c r="AF4" s="85">
        <f>AE4*AR4</f>
        <v>6931129.729238715</v>
      </c>
      <c r="AG4" s="154">
        <f>VLOOKUP(B4,[13]AKSoftSalesReport!$B$2:$C$90,2,0)</f>
        <v>5713409</v>
      </c>
      <c r="AH4" s="7">
        <f>AG4/AO4</f>
        <v>8.8370368398857507E-2</v>
      </c>
      <c r="AI4" s="85">
        <f>AH4*AR4</f>
        <v>6741775.4051488396</v>
      </c>
      <c r="AJ4" s="104">
        <f>VLOOKUP(B4,[14]AKSoftSalesReport!$A:$D,4,0)</f>
        <v>5752367.7057142835</v>
      </c>
      <c r="AK4" s="7">
        <f>AJ4/AO4</f>
        <v>8.8972950005795484E-2</v>
      </c>
      <c r="AL4" s="85">
        <f>AK4*AR4</f>
        <v>6787746.3559421375</v>
      </c>
      <c r="AM4" s="6">
        <f>AJ4+AG4+AD4+AA4+X4+U4+R4+O4+L4+I4+F4+C4</f>
        <v>64707757.09571404</v>
      </c>
      <c r="AN4" s="6"/>
      <c r="AO4" s="104">
        <v>64652995.155714042</v>
      </c>
      <c r="AP4" s="87">
        <f>(AO4*AQ4)+AO4</f>
        <v>76290534.283742577</v>
      </c>
      <c r="AQ4" s="237">
        <v>0.18</v>
      </c>
      <c r="AR4" s="87">
        <v>76290000</v>
      </c>
      <c r="AS4" s="240">
        <f>E4+H4+K4+N4+Q4+T4+W4+Z4+AC4+AF4+AI4+AL4</f>
        <v>76354618.636654615</v>
      </c>
      <c r="AT4" s="31">
        <f t="shared" ref="AT4:AT15" si="0">AS4-AR4</f>
        <v>64618.636654615402</v>
      </c>
      <c r="AU4" s="28">
        <f>AO4-AM4</f>
        <v>-54761.939999997616</v>
      </c>
      <c r="AV4" s="79">
        <f>AV5+AV7+AV58+AV74</f>
        <v>2697.6160595491529</v>
      </c>
      <c r="AZ4" s="28">
        <v>1597036</v>
      </c>
      <c r="BA4" s="28">
        <f t="shared" ref="BA4:BA35" si="1">L4-AZ4</f>
        <v>3635496.089999998</v>
      </c>
      <c r="BB4" s="253">
        <v>1725093.94</v>
      </c>
      <c r="BC4" s="28">
        <v>5232532.089999998</v>
      </c>
      <c r="BD4" s="28">
        <f>VLOOKUP(B4,[20]AKSoftSalesReport!$A:$B,2,0)</f>
        <v>979010.75000000047</v>
      </c>
      <c r="BE4" s="28">
        <f t="shared" ref="BE4:BE35" si="2">O4-BD4</f>
        <v>4505549.4099999852</v>
      </c>
      <c r="BF4" s="28">
        <f>VLOOKUP(B4,[21]AKSoftSalesReport!$A:$B,2,0)</f>
        <v>863977.20000000065</v>
      </c>
      <c r="BG4" s="28">
        <v>5484560.1599999852</v>
      </c>
      <c r="BH4" s="28">
        <v>863977.20000000065</v>
      </c>
      <c r="BI4" s="28">
        <f t="shared" ref="BI4:BI35" si="3">R4-BH4</f>
        <v>5016332.4299999364</v>
      </c>
      <c r="BJ4" s="28">
        <f>VLOOKUP(B4,[22]AKSoftSalesReport!$A:$B,2,0)</f>
        <v>1033772.6900000009</v>
      </c>
      <c r="BK4" s="28">
        <v>5880309.6299999375</v>
      </c>
    </row>
    <row r="5" spans="1:63" x14ac:dyDescent="0.3">
      <c r="A5" s="61">
        <v>2</v>
      </c>
      <c r="B5" s="90" t="s">
        <v>47</v>
      </c>
      <c r="C5" s="70">
        <f>VLOOKUP(B5,[3]AKSoftSalesReport!$B$2:$C$87,2,0)</f>
        <v>4435284.459999932</v>
      </c>
      <c r="D5" s="7">
        <f>C5/AO5</f>
        <v>7.0402364140019713E-2</v>
      </c>
      <c r="E5" s="85">
        <v>5400000</v>
      </c>
      <c r="F5" s="70">
        <v>3831150.6799999988</v>
      </c>
      <c r="G5" s="7">
        <f>F5/AO5</f>
        <v>6.081279964817593E-2</v>
      </c>
      <c r="H5" s="85">
        <v>4670000</v>
      </c>
      <c r="I5" s="70">
        <v>3602458</v>
      </c>
      <c r="J5" s="7">
        <f>I5/AO5</f>
        <v>5.7182704334398204E-2</v>
      </c>
      <c r="K5" s="85">
        <v>4400000</v>
      </c>
      <c r="L5" s="6">
        <v>4936148.1699999981</v>
      </c>
      <c r="M5" s="7">
        <f>L5/AO5</f>
        <v>7.835269734050769E-2</v>
      </c>
      <c r="N5" s="85">
        <v>6020000</v>
      </c>
      <c r="O5" s="6">
        <v>5210907.4399999678</v>
      </c>
      <c r="P5" s="7">
        <f>O5/AO5</f>
        <v>8.271401899909285E-2</v>
      </c>
      <c r="Q5" s="85">
        <v>6360000</v>
      </c>
      <c r="R5" s="6">
        <v>5395352.5299999975</v>
      </c>
      <c r="S5" s="7">
        <f>R5/AO5</f>
        <v>8.5641761403696365E-2</v>
      </c>
      <c r="T5" s="85">
        <v>6600000</v>
      </c>
      <c r="U5" s="71">
        <f>VLOOKUP(B5,[9]AKSoftSalesReport!$B$2:$C$94,2,0)</f>
        <v>5811343</v>
      </c>
      <c r="V5" s="7">
        <f>U5/AO5</f>
        <v>9.2244880732759313E-2</v>
      </c>
      <c r="W5" s="85">
        <v>7100000</v>
      </c>
      <c r="X5" s="71">
        <f>VLOOKUP(B5,[10]AKSoftSalesReport!$B$2:$C$94,2,0)</f>
        <v>6191838.319999936</v>
      </c>
      <c r="Y5" s="7">
        <f>X5/AO5</f>
        <v>9.8284576791444409E-2</v>
      </c>
      <c r="Z5" s="85">
        <v>7550000</v>
      </c>
      <c r="AA5" s="71">
        <f>VLOOKUP(B5,[11]AKSoftSalesReport!$B$2:$C$94,2,0)</f>
        <v>5703893.799999997</v>
      </c>
      <c r="AB5" s="7">
        <f>AA5/AO5</f>
        <v>9.0539313080182163E-2</v>
      </c>
      <c r="AC5" s="85">
        <v>6960000</v>
      </c>
      <c r="AD5" s="51">
        <f>VLOOKUP(B5,[12]AKSoftSalesReport!$B$2:$C$89,2,0)</f>
        <v>5986546.8699999321</v>
      </c>
      <c r="AE5" s="7">
        <f>AD5/AO5</f>
        <v>9.5025934973072032E-2</v>
      </c>
      <c r="AF5" s="85">
        <v>7300000</v>
      </c>
      <c r="AG5" s="154">
        <f>VLOOKUP(B5,[13]AKSoftSalesReport!$B$2:$C$90,2,0)</f>
        <v>5878381</v>
      </c>
      <c r="AH5" s="7">
        <f>AG5/AO5</f>
        <v>9.3308991440828479E-2</v>
      </c>
      <c r="AI5" s="85">
        <v>7170000</v>
      </c>
      <c r="AJ5" s="104">
        <f>VLOOKUP(B5,[14]AKSoftSalesReport!$A:$D,4,0)</f>
        <v>6009060.4599999851</v>
      </c>
      <c r="AK5" s="7">
        <f>AJ5/AO5</f>
        <v>9.53832987398332E-2</v>
      </c>
      <c r="AL5" s="85">
        <v>7330000</v>
      </c>
      <c r="AM5" s="6">
        <f t="shared" ref="AM5:AM68" si="4">AJ5+AG5+AD5+AA5+X5+U5+R5+O5+L5+I5+F5+C5</f>
        <v>62992364.729999758</v>
      </c>
      <c r="AN5" s="6"/>
      <c r="AO5" s="104">
        <v>62999084.109999754</v>
      </c>
      <c r="AP5" s="87">
        <f>(AO5*AQ5)+AO5</f>
        <v>76858882.614199698</v>
      </c>
      <c r="AQ5" s="251">
        <v>0.22</v>
      </c>
      <c r="AR5" s="25">
        <v>76860000</v>
      </c>
      <c r="AS5" s="240">
        <f>E5+H5+K5+N5+Q5+T5+W5+Z5+AC5+AF5+AI5+AL5</f>
        <v>76860000</v>
      </c>
      <c r="AT5" s="31">
        <f>AS5-AR5</f>
        <v>0</v>
      </c>
      <c r="AU5" s="28">
        <f t="shared" ref="AU5:AU68" si="5">AO5-AM5</f>
        <v>6719.3799999952316</v>
      </c>
      <c r="AV5" s="79">
        <f>AP5-AR5</f>
        <v>-1117.3858003020287</v>
      </c>
      <c r="AZ5" s="28">
        <v>1553461</v>
      </c>
      <c r="BA5" s="28">
        <f t="shared" si="1"/>
        <v>3382687.1699999981</v>
      </c>
      <c r="BB5" s="253">
        <v>1702201</v>
      </c>
      <c r="BC5" s="28">
        <v>4936148.1699999981</v>
      </c>
      <c r="BD5" s="28">
        <f>VLOOKUP(B5,[20]AKSoftSalesReport!$A:$B,2,0)</f>
        <v>982144.38000000035</v>
      </c>
      <c r="BE5" s="28">
        <f t="shared" si="2"/>
        <v>4228763.059999967</v>
      </c>
      <c r="BF5" s="28">
        <f>VLOOKUP(B5,[21]AKSoftSalesReport!$A:$B,2,0)</f>
        <v>707154.56000000064</v>
      </c>
      <c r="BG5" s="28">
        <v>5210907.4399999678</v>
      </c>
      <c r="BH5" s="28">
        <v>707154.56000000064</v>
      </c>
      <c r="BI5" s="28">
        <f t="shared" si="3"/>
        <v>4688197.9699999969</v>
      </c>
      <c r="BJ5" s="28">
        <f>VLOOKUP(B5,[22]AKSoftSalesReport!$A:$B,2,0)</f>
        <v>975425</v>
      </c>
      <c r="BK5" s="28">
        <v>5395352.5299999975</v>
      </c>
    </row>
    <row r="6" spans="1:63" x14ac:dyDescent="0.3">
      <c r="A6" s="239">
        <v>3</v>
      </c>
      <c r="B6" s="89" t="s">
        <v>123</v>
      </c>
      <c r="C6" s="70">
        <f>VLOOKUP(B6,[3]AKSoftSalesReport!$B$2:$C$87,2,0)</f>
        <v>5132654</v>
      </c>
      <c r="D6" s="7">
        <f t="shared" ref="D6:D74" si="6">C6/AO6</f>
        <v>8.1930501677283857E-2</v>
      </c>
      <c r="E6" s="85">
        <f t="shared" ref="E6:E67" si="7">D6*AR6</f>
        <v>6056302.6839848226</v>
      </c>
      <c r="F6" s="70">
        <v>3986114</v>
      </c>
      <c r="G6" s="7">
        <f t="shared" ref="G6:G74" si="8">F6/AO6</f>
        <v>6.362874251076435E-2</v>
      </c>
      <c r="H6" s="85">
        <f t="shared" ref="H6:H67" si="9">G6*AR6</f>
        <v>4703436.646395701</v>
      </c>
      <c r="I6" s="70">
        <v>4178815.5</v>
      </c>
      <c r="J6" s="7">
        <f t="shared" ref="J6:J74" si="10">I6/AO6</f>
        <v>6.6704759434750474E-2</v>
      </c>
      <c r="K6" s="85">
        <f t="shared" ref="K6:K67" si="11">J6*AR6</f>
        <v>4930815.8174167555</v>
      </c>
      <c r="L6" s="6">
        <v>5084794.5</v>
      </c>
      <c r="M6" s="7">
        <f t="shared" ref="M6:M74" si="12">L6/AO6</f>
        <v>8.1166539632496898E-2</v>
      </c>
      <c r="N6" s="85">
        <f t="shared" ref="N6:N67" si="13">M6*AR6</f>
        <v>5999830.6096341703</v>
      </c>
      <c r="O6" s="6">
        <v>5688106</v>
      </c>
      <c r="P6" s="7">
        <f t="shared" ref="P6:P74" si="14">O6/AO6</f>
        <v>9.0796959657434215E-2</v>
      </c>
      <c r="Q6" s="85">
        <f t="shared" ref="Q6:Q67" si="15">P6*AR6</f>
        <v>6711711.257877537</v>
      </c>
      <c r="R6" s="6">
        <v>6026467</v>
      </c>
      <c r="S6" s="7">
        <f t="shared" ref="S6:S74" si="16">R6/AO6</f>
        <v>9.6198080885950193E-2</v>
      </c>
      <c r="T6" s="85">
        <f t="shared" ref="T6:T67" si="17">S6*AR6</f>
        <v>7110962.1390894381</v>
      </c>
      <c r="U6" s="71">
        <f>VLOOKUP(B6,[9]AKSoftSalesReport!$B$2:$C$94,2,0)</f>
        <v>5628935</v>
      </c>
      <c r="V6" s="7">
        <f t="shared" ref="V6:V74" si="18">U6/AO6</f>
        <v>8.9852436665090185E-2</v>
      </c>
      <c r="W6" s="85">
        <f t="shared" ref="W6:W67" si="19">V6*AR6</f>
        <v>6641892.1182834664</v>
      </c>
      <c r="X6" s="71">
        <f>VLOOKUP(B6,[10]AKSoftSalesReport!$B$2:$C$94,2,0)</f>
        <v>5268691</v>
      </c>
      <c r="Y6" s="7">
        <f t="shared" ref="Y6:Y74" si="20">X6/AO6</f>
        <v>8.4102005865306792E-2</v>
      </c>
      <c r="Z6" s="85">
        <f t="shared" ref="Z6:Z67" si="21">Y6*AR6</f>
        <v>6216820.2735634781</v>
      </c>
      <c r="AA6" s="71">
        <f>VLOOKUP(B6,[11]AKSoftSalesReport!$B$2:$C$94,2,0)</f>
        <v>5439385</v>
      </c>
      <c r="AB6" s="7">
        <f t="shared" ref="AB6:AB74" si="22">AA6/AO6</f>
        <v>8.6826725874351293E-2</v>
      </c>
      <c r="AC6" s="85">
        <f t="shared" ref="AC6:AC67" si="23">AB6*AR6</f>
        <v>6418231.576632048</v>
      </c>
      <c r="AD6" s="51">
        <f>VLOOKUP(B6,[12]AKSoftSalesReport!$B$2:$C$89,2,0)</f>
        <v>5522649</v>
      </c>
      <c r="AE6" s="7">
        <f t="shared" ref="AE6:AE74" si="24">AD6/AO6</f>
        <v>8.8155835783504985E-2</v>
      </c>
      <c r="AF6" s="85">
        <f t="shared" ref="AF6:AF67" si="25">AE6*AR6</f>
        <v>6516479.3811166883</v>
      </c>
      <c r="AG6" s="154">
        <f>VLOOKUP(B6,[13]AKSoftSalesReport!$B$2:$C$90,2,0)</f>
        <v>5196281</v>
      </c>
      <c r="AH6" s="7">
        <f t="shared" ref="AH6:AH74" si="26">AG6/AO6</f>
        <v>8.2946154014304926E-2</v>
      </c>
      <c r="AI6" s="85">
        <f t="shared" ref="AI6:AI67" si="27">AH6*AR6</f>
        <v>6131379.7047374202</v>
      </c>
      <c r="AJ6" s="104">
        <f>VLOOKUP(B6,[14]AKSoftSalesReport!$A:$D,4,0)</f>
        <v>5474732.8571428573</v>
      </c>
      <c r="AK6" s="7">
        <f t="shared" ref="AK6:AK74" si="28">AJ6/AO6</f>
        <v>8.7390969571458338E-2</v>
      </c>
      <c r="AL6" s="85">
        <f t="shared" ref="AL6:AL67" si="29">AK6*AR6</f>
        <v>6459940.4707222003</v>
      </c>
      <c r="AM6" s="6">
        <f t="shared" si="4"/>
        <v>62627624.857142858</v>
      </c>
      <c r="AN6" s="6"/>
      <c r="AO6" s="104">
        <v>62646436.857142858</v>
      </c>
      <c r="AP6" s="87">
        <f t="shared" ref="AP6:AP74" si="30">(AO6*AQ6)+AO6</f>
        <v>73922795.491428569</v>
      </c>
      <c r="AQ6" s="237">
        <v>0.18</v>
      </c>
      <c r="AR6" s="25">
        <v>73920000</v>
      </c>
      <c r="AS6" s="240">
        <f>E6+H6+K6+N6+Q6+T6+W6+Z6+AC6+AF6+AI6+AL6</f>
        <v>73897802.679453716</v>
      </c>
      <c r="AT6" s="31">
        <f t="shared" si="0"/>
        <v>-22197.320546284318</v>
      </c>
      <c r="AU6" s="28">
        <f t="shared" si="5"/>
        <v>18812</v>
      </c>
      <c r="AZ6" s="28">
        <v>1717882.5</v>
      </c>
      <c r="BA6" s="28">
        <f t="shared" si="1"/>
        <v>3366912</v>
      </c>
      <c r="BB6" s="253">
        <v>1894968.5</v>
      </c>
      <c r="BC6" s="28">
        <v>5084794.5</v>
      </c>
      <c r="BD6" s="28">
        <f>VLOOKUP(B6,[20]AKSoftSalesReport!$A:$B,2,0)</f>
        <v>1053322.5</v>
      </c>
      <c r="BE6" s="28">
        <f t="shared" si="2"/>
        <v>4634783.5</v>
      </c>
      <c r="BF6" s="28">
        <f>VLOOKUP(B6,[21]AKSoftSalesReport!$A:$B,2,0)</f>
        <v>860978.5</v>
      </c>
      <c r="BG6" s="28">
        <v>5688106</v>
      </c>
      <c r="BH6" s="28">
        <v>860978.5</v>
      </c>
      <c r="BI6" s="28">
        <f t="shared" si="3"/>
        <v>5165488.5</v>
      </c>
      <c r="BJ6" s="28">
        <f>VLOOKUP(B6,[22]AKSoftSalesReport!$A:$B,2,0)</f>
        <v>1034510.5</v>
      </c>
      <c r="BK6" s="28">
        <v>6026467</v>
      </c>
    </row>
    <row r="7" spans="1:63" x14ac:dyDescent="0.3">
      <c r="A7" s="61">
        <v>4</v>
      </c>
      <c r="B7" s="90" t="s">
        <v>68</v>
      </c>
      <c r="C7" s="70">
        <f>VLOOKUP(B7,[3]AKSoftSalesReport!$B$2:$C$87,2,0)</f>
        <v>5569018.4099999638</v>
      </c>
      <c r="D7" s="7">
        <f t="shared" si="6"/>
        <v>7.2675876561271224E-2</v>
      </c>
      <c r="E7" s="85">
        <v>6570000</v>
      </c>
      <c r="F7" s="70">
        <v>4480359</v>
      </c>
      <c r="G7" s="7">
        <f t="shared" si="8"/>
        <v>5.8468834839815631E-2</v>
      </c>
      <c r="H7" s="85">
        <v>5290000</v>
      </c>
      <c r="I7" s="70">
        <v>4697262</v>
      </c>
      <c r="J7" s="7">
        <f t="shared" si="10"/>
        <v>6.1299426246276704E-2</v>
      </c>
      <c r="K7" s="85">
        <v>5540000</v>
      </c>
      <c r="L7" s="6">
        <v>5717109.1299999887</v>
      </c>
      <c r="M7" s="7">
        <f t="shared" si="12"/>
        <v>7.4608465411626926E-2</v>
      </c>
      <c r="N7" s="85">
        <v>6750000</v>
      </c>
      <c r="O7" s="6">
        <v>6316576.5999999503</v>
      </c>
      <c r="P7" s="7">
        <f t="shared" si="14"/>
        <v>8.2431535950231061E-2</v>
      </c>
      <c r="Q7" s="85">
        <v>7450000</v>
      </c>
      <c r="R7" s="6">
        <v>6862187.999999946</v>
      </c>
      <c r="S7" s="7">
        <f t="shared" si="16"/>
        <v>8.9551782973587971E-2</v>
      </c>
      <c r="T7" s="85">
        <v>8100000</v>
      </c>
      <c r="U7" s="71">
        <f>VLOOKUP(B7,[9]AKSoftSalesReport!$B$2:$C$94,2,0)</f>
        <v>6985115.9799999828</v>
      </c>
      <c r="V7" s="7">
        <f t="shared" si="18"/>
        <v>9.1155997225127697E-2</v>
      </c>
      <c r="W7" s="85">
        <v>8240000</v>
      </c>
      <c r="X7" s="71">
        <f>VLOOKUP(B7,[10]AKSoftSalesReport!$B$2:$C$94,2,0)</f>
        <v>6865864.5199999269</v>
      </c>
      <c r="Y7" s="7">
        <f t="shared" si="20"/>
        <v>8.9599761682585211E-2</v>
      </c>
      <c r="Z7" s="85">
        <v>8100000</v>
      </c>
      <c r="AA7" s="71">
        <f>VLOOKUP(B7,[11]AKSoftSalesReport!$B$2:$C$94,2,0)</f>
        <v>6852016.1400000006</v>
      </c>
      <c r="AB7" s="7">
        <f t="shared" si="22"/>
        <v>8.9419039860290456E-2</v>
      </c>
      <c r="AC7" s="85">
        <v>8090000</v>
      </c>
      <c r="AD7" s="51">
        <f>VLOOKUP(B7,[12]AKSoftSalesReport!$B$2:$C$89,2,0)</f>
        <v>7311907.2099999841</v>
      </c>
      <c r="AE7" s="7">
        <f t="shared" si="24"/>
        <v>9.5420633709384944E-2</v>
      </c>
      <c r="AF7" s="85">
        <v>8620000</v>
      </c>
      <c r="AG7" s="154">
        <f>VLOOKUP(B7,[13]AKSoftSalesReport!$B$2:$C$90,2,0)</f>
        <v>7157574.3499999931</v>
      </c>
      <c r="AH7" s="7">
        <f t="shared" si="26"/>
        <v>9.3406584723199709E-2</v>
      </c>
      <c r="AI7" s="85">
        <v>8450000</v>
      </c>
      <c r="AJ7" s="104">
        <f>VLOOKUP(B7,[14]AKSoftSalesReport!$A:$D,4,0)</f>
        <v>7808008.9271428483</v>
      </c>
      <c r="AK7" s="7">
        <f t="shared" si="28"/>
        <v>0.10189477771511642</v>
      </c>
      <c r="AL7" s="85">
        <v>9220000</v>
      </c>
      <c r="AM7" s="6">
        <f t="shared" si="4"/>
        <v>76623000.267142594</v>
      </c>
      <c r="AN7" s="101"/>
      <c r="AO7" s="104">
        <v>76628156.047142595</v>
      </c>
      <c r="AP7" s="87">
        <f t="shared" si="30"/>
        <v>90421224.135628268</v>
      </c>
      <c r="AQ7" s="251">
        <v>0.18</v>
      </c>
      <c r="AR7" s="1">
        <v>90420000</v>
      </c>
      <c r="AS7" s="240">
        <f t="shared" ref="AS7:AS75" si="31">E7+H7+K7+N7+Q7+T7+W7+Z7+AC7+AF7+AI7+AL7</f>
        <v>90420000</v>
      </c>
      <c r="AT7" s="31">
        <f t="shared" si="0"/>
        <v>0</v>
      </c>
      <c r="AU7" s="28">
        <f t="shared" si="5"/>
        <v>5155.7800000011921</v>
      </c>
      <c r="AV7" s="79">
        <f>AP7-AR7</f>
        <v>1224.1356282681227</v>
      </c>
      <c r="AZ7" s="28">
        <v>1750297</v>
      </c>
      <c r="BA7" s="28">
        <f t="shared" si="1"/>
        <v>3966812.1299999887</v>
      </c>
      <c r="BB7" s="253">
        <v>1907976</v>
      </c>
      <c r="BC7" s="28">
        <v>5717109.1299999887</v>
      </c>
      <c r="BD7" s="28">
        <f>VLOOKUP(B7,[20]AKSoftSalesReport!$A:$B,2,0)</f>
        <v>1191930.9700000004</v>
      </c>
      <c r="BE7" s="28">
        <f t="shared" si="2"/>
        <v>5124645.6299999496</v>
      </c>
      <c r="BF7" s="28">
        <f>VLOOKUP(B7,[21]AKSoftSalesReport!$A:$B,2,0)</f>
        <v>825884.44000000041</v>
      </c>
      <c r="BG7" s="28">
        <v>6316576.5999999503</v>
      </c>
      <c r="BH7" s="28">
        <v>825884.44000000041</v>
      </c>
      <c r="BI7" s="28">
        <f t="shared" si="3"/>
        <v>6036303.5599999456</v>
      </c>
      <c r="BJ7" s="28">
        <f>VLOOKUP(B7,[22]AKSoftSalesReport!$A:$B,2,0)</f>
        <v>1186775.1900000009</v>
      </c>
      <c r="BK7" s="28">
        <v>6862187.999999946</v>
      </c>
    </row>
    <row r="8" spans="1:63" x14ac:dyDescent="0.3">
      <c r="A8" s="239">
        <v>5</v>
      </c>
      <c r="B8" s="89" t="s">
        <v>109</v>
      </c>
      <c r="C8" s="70">
        <f>VLOOKUP(B8,[3]AKSoftSalesReport!$B$2:$C$87,2,0)</f>
        <v>3267306.1799999904</v>
      </c>
      <c r="D8" s="7">
        <f>C8/AO8</f>
        <v>7.5413721238309556E-2</v>
      </c>
      <c r="E8" s="85">
        <f t="shared" si="7"/>
        <v>3985615.1674446599</v>
      </c>
      <c r="F8" s="70">
        <v>2491132</v>
      </c>
      <c r="G8" s="7">
        <f>F8/AO8</f>
        <v>5.7498600947105946E-2</v>
      </c>
      <c r="H8" s="85">
        <f t="shared" si="9"/>
        <v>3038801.0600545495</v>
      </c>
      <c r="I8" s="70">
        <v>2847642</v>
      </c>
      <c r="J8" s="7">
        <f>I8/AO8</f>
        <v>6.5727320350033105E-2</v>
      </c>
      <c r="K8" s="85">
        <f t="shared" si="11"/>
        <v>3473688.8804992498</v>
      </c>
      <c r="L8" s="6">
        <v>3252924.8799999976</v>
      </c>
      <c r="M8" s="7">
        <f>L8/AO8</f>
        <v>7.5081781931279581E-2</v>
      </c>
      <c r="N8" s="85">
        <f t="shared" si="13"/>
        <v>3968072.1750681261</v>
      </c>
      <c r="O8" s="6">
        <v>3847087.1799999876</v>
      </c>
      <c r="P8" s="7">
        <f>O8/AO8</f>
        <v>8.8795828792511369E-2</v>
      </c>
      <c r="Q8" s="85">
        <f t="shared" si="15"/>
        <v>4692859.5516842259</v>
      </c>
      <c r="R8" s="6">
        <v>3734291.949999982</v>
      </c>
      <c r="S8" s="7">
        <f>R8/AO8</f>
        <v>8.6192366624104663E-2</v>
      </c>
      <c r="T8" s="85">
        <f t="shared" si="17"/>
        <v>4555266.5760839311</v>
      </c>
      <c r="U8" s="71">
        <f>VLOOKUP(B8,[9]AKSoftSalesReport!$B$2:$C$94,2,0)</f>
        <v>3835863.2899999963</v>
      </c>
      <c r="V8" s="7">
        <f>U8/AO8</f>
        <v>8.8536766658435892E-2</v>
      </c>
      <c r="W8" s="85">
        <f t="shared" si="19"/>
        <v>4679168.1178983366</v>
      </c>
      <c r="X8" s="71">
        <f>VLOOKUP(B8,[10]AKSoftSalesReport!$B$2:$C$94,2,0)</f>
        <v>3745987.6599999871</v>
      </c>
      <c r="Y8" s="7">
        <f>X8/AO8</f>
        <v>8.6462318983948849E-2</v>
      </c>
      <c r="Z8" s="85">
        <f t="shared" si="21"/>
        <v>4569533.5583016966</v>
      </c>
      <c r="AA8" s="71">
        <f>VLOOKUP(B8,[11]AKSoftSalesReport!$B$2:$C$94,2,0)</f>
        <v>4063902.489999997</v>
      </c>
      <c r="AB8" s="7">
        <f>AA8/AO8</f>
        <v>9.3800211133115402E-2</v>
      </c>
      <c r="AC8" s="85">
        <f t="shared" si="23"/>
        <v>4957341.1583851492</v>
      </c>
      <c r="AD8" s="51">
        <f>VLOOKUP(B8,[12]AKSoftSalesReport!$B$2:$C$89,2,0)</f>
        <v>4287353.6499999929</v>
      </c>
      <c r="AE8" s="7">
        <f>AD8/AO8</f>
        <v>9.8957757613995459E-2</v>
      </c>
      <c r="AF8" s="85">
        <f t="shared" si="25"/>
        <v>5229917.4898996605</v>
      </c>
      <c r="AG8" s="154">
        <f>VLOOKUP(B8,[13]AKSoftSalesReport!$B$2:$C$90,2,0)</f>
        <v>3998906</v>
      </c>
      <c r="AH8" s="7">
        <f>AG8/AO8</f>
        <v>9.2300006711401747E-2</v>
      </c>
      <c r="AI8" s="85">
        <f t="shared" si="27"/>
        <v>4878055.3546975823</v>
      </c>
      <c r="AJ8" s="104">
        <f>VLOOKUP(B8,[14]AKSoftSalesReport!$A:$D,4,0)</f>
        <v>3925677.0507142865</v>
      </c>
      <c r="AK8" s="7">
        <f>AJ8/AO8</f>
        <v>9.0609786308486484E-2</v>
      </c>
      <c r="AL8" s="85">
        <f t="shared" si="29"/>
        <v>4788727.2064035106</v>
      </c>
      <c r="AM8" s="6">
        <f t="shared" si="4"/>
        <v>43298074.330714218</v>
      </c>
      <c r="AN8" s="6"/>
      <c r="AO8" s="104">
        <v>43325088.940714218</v>
      </c>
      <c r="AP8" s="87">
        <f>(AO8*AQ8)+AO8</f>
        <v>52856608.507671341</v>
      </c>
      <c r="AQ8" s="237">
        <v>0.22</v>
      </c>
      <c r="AR8" s="1">
        <v>52850000</v>
      </c>
      <c r="AS8" s="240">
        <f>E8+H8+K8+N8+Q8+T8+W8+Z8+AC8+AF8+AI8+AL8</f>
        <v>52817046.296420678</v>
      </c>
      <c r="AT8" s="31">
        <f>AS8-AR8</f>
        <v>-32953.703579321504</v>
      </c>
      <c r="AU8" s="28">
        <f t="shared" si="5"/>
        <v>27014.609999999404</v>
      </c>
      <c r="AZ8" s="28">
        <v>1058541</v>
      </c>
      <c r="BA8" s="28">
        <f t="shared" si="1"/>
        <v>2194383.8799999976</v>
      </c>
      <c r="BB8" s="253">
        <v>1003019.5</v>
      </c>
      <c r="BC8" s="28">
        <v>3252924.8799999976</v>
      </c>
      <c r="BD8" s="28">
        <f>VLOOKUP(B8,[20]AKSoftSalesReport!$A:$B,2,0)</f>
        <v>644337.99000000022</v>
      </c>
      <c r="BE8" s="28">
        <f t="shared" si="2"/>
        <v>3202749.1899999874</v>
      </c>
      <c r="BF8" s="28">
        <f>VLOOKUP(B8,[21]AKSoftSalesReport!$A:$B,2,0)</f>
        <v>680443.4600000002</v>
      </c>
      <c r="BG8" s="28">
        <v>3847087.1799999876</v>
      </c>
      <c r="BH8" s="28">
        <v>680443.4600000002</v>
      </c>
      <c r="BI8" s="28">
        <f t="shared" si="3"/>
        <v>3053848.4899999816</v>
      </c>
      <c r="BJ8" s="28">
        <f>VLOOKUP(B8,[22]AKSoftSalesReport!$A:$B,2,0)</f>
        <v>617323.38000000024</v>
      </c>
      <c r="BK8" s="28">
        <v>3734291.949999982</v>
      </c>
    </row>
    <row r="9" spans="1:63" x14ac:dyDescent="0.3">
      <c r="A9" s="61">
        <v>6</v>
      </c>
      <c r="B9" s="90" t="s">
        <v>63</v>
      </c>
      <c r="C9" s="70">
        <f>VLOOKUP(B9,[3]AKSoftSalesReport!$B$2:$C$87,2,0)</f>
        <v>2431244.0799999936</v>
      </c>
      <c r="D9" s="7">
        <f t="shared" si="6"/>
        <v>7.4879342262349491E-2</v>
      </c>
      <c r="E9" s="85">
        <f t="shared" si="7"/>
        <v>2965970.7470116634</v>
      </c>
      <c r="F9" s="70">
        <v>1926248</v>
      </c>
      <c r="G9" s="7">
        <f t="shared" si="8"/>
        <v>5.9326081021929551E-2</v>
      </c>
      <c r="H9" s="85">
        <f t="shared" si="9"/>
        <v>2349906.0692786295</v>
      </c>
      <c r="I9" s="70">
        <v>1939910</v>
      </c>
      <c r="J9" s="7">
        <f t="shared" si="10"/>
        <v>5.9746853902120263E-2</v>
      </c>
      <c r="K9" s="85">
        <f t="shared" si="11"/>
        <v>2366572.8830629834</v>
      </c>
      <c r="L9" s="6">
        <v>2624289.02</v>
      </c>
      <c r="M9" s="7">
        <f t="shared" si="12"/>
        <v>8.0824890162367519E-2</v>
      </c>
      <c r="N9" s="85">
        <f t="shared" si="13"/>
        <v>3201473.8993313774</v>
      </c>
      <c r="O9" s="6">
        <v>2877177.1199999996</v>
      </c>
      <c r="P9" s="7">
        <f t="shared" si="14"/>
        <v>8.8613534153214907E-2</v>
      </c>
      <c r="Q9" s="85">
        <f t="shared" si="15"/>
        <v>3509982.0878088423</v>
      </c>
      <c r="R9" s="6">
        <v>2804323</v>
      </c>
      <c r="S9" s="7">
        <f t="shared" si="16"/>
        <v>8.6369716417439776E-2</v>
      </c>
      <c r="T9" s="85">
        <f t="shared" si="17"/>
        <v>3421104.4672947894</v>
      </c>
      <c r="U9" s="71">
        <f>VLOOKUP(B9,[9]AKSoftSalesReport!$B$2:$C$94,2,0)</f>
        <v>2897728.08</v>
      </c>
      <c r="V9" s="7">
        <f t="shared" si="18"/>
        <v>8.9246478570568458E-2</v>
      </c>
      <c r="W9" s="85">
        <f t="shared" si="19"/>
        <v>3535053.0161802168</v>
      </c>
      <c r="X9" s="71">
        <f>VLOOKUP(B9,[10]AKSoftSalesReport!$B$2:$C$94,2,0)</f>
        <v>2943315.3199999705</v>
      </c>
      <c r="Y9" s="7">
        <f t="shared" si="20"/>
        <v>9.0650509772056742E-2</v>
      </c>
      <c r="Z9" s="85">
        <f t="shared" si="21"/>
        <v>3590666.6920711678</v>
      </c>
      <c r="AA9" s="71">
        <f>VLOOKUP(B9,[11]AKSoftSalesReport!$B$2:$C$94,2,0)</f>
        <v>3121530</v>
      </c>
      <c r="AB9" s="7">
        <f t="shared" si="22"/>
        <v>9.6139303813623039E-2</v>
      </c>
      <c r="AC9" s="85">
        <f t="shared" si="23"/>
        <v>3808077.8240576084</v>
      </c>
      <c r="AD9" s="51">
        <f>VLOOKUP(B9,[12]AKSoftSalesReport!$B$2:$C$89,2,0)</f>
        <v>3022173.7999999928</v>
      </c>
      <c r="AE9" s="7">
        <f t="shared" si="24"/>
        <v>9.3079254447585302E-2</v>
      </c>
      <c r="AF9" s="85">
        <f t="shared" si="25"/>
        <v>3686869.2686688537</v>
      </c>
      <c r="AG9" s="154">
        <f>VLOOKUP(B9,[13]AKSoftSalesReport!$B$2:$C$90,2,0)</f>
        <v>2837091</v>
      </c>
      <c r="AH9" s="7">
        <f t="shared" si="26"/>
        <v>8.7378930715352923E-2</v>
      </c>
      <c r="AI9" s="85">
        <f t="shared" si="27"/>
        <v>3461079.4456351292</v>
      </c>
      <c r="AJ9" s="104">
        <f>VLOOKUP(B9,[14]AKSoftSalesReport!$A:$D,4,0)</f>
        <v>3046042.2857142854</v>
      </c>
      <c r="AK9" s="7">
        <f t="shared" si="28"/>
        <v>9.3814374596889488E-2</v>
      </c>
      <c r="AL9" s="85">
        <f t="shared" si="29"/>
        <v>3715987.3777827928</v>
      </c>
      <c r="AM9" s="6">
        <f t="shared" si="4"/>
        <v>32471071.705714244</v>
      </c>
      <c r="AN9" s="6"/>
      <c r="AO9" s="104">
        <v>32468822.595714241</v>
      </c>
      <c r="AP9" s="87">
        <f t="shared" si="30"/>
        <v>39611963.566771373</v>
      </c>
      <c r="AQ9" s="237">
        <v>0.22</v>
      </c>
      <c r="AR9" s="1">
        <v>39610000</v>
      </c>
      <c r="AS9" s="240">
        <f t="shared" si="31"/>
        <v>39612743.778184056</v>
      </c>
      <c r="AT9" s="31">
        <f t="shared" si="0"/>
        <v>2743.778184056282</v>
      </c>
      <c r="AU9" s="28">
        <f t="shared" si="5"/>
        <v>-2249.1100000031292</v>
      </c>
      <c r="AZ9" s="28">
        <v>803261</v>
      </c>
      <c r="BA9" s="28">
        <f t="shared" si="1"/>
        <v>1821028.02</v>
      </c>
      <c r="BB9" s="253">
        <v>845240</v>
      </c>
      <c r="BC9" s="28">
        <v>2624289.02</v>
      </c>
      <c r="BD9" s="28">
        <f>VLOOKUP(B9,[20]AKSoftSalesReport!$A:$B,2,0)</f>
        <v>511982.89</v>
      </c>
      <c r="BE9" s="28">
        <f t="shared" si="2"/>
        <v>2365194.2299999995</v>
      </c>
      <c r="BF9" s="28">
        <f>VLOOKUP(B9,[21]AKSoftSalesReport!$A:$B,2,0)</f>
        <v>354954</v>
      </c>
      <c r="BG9" s="28">
        <v>2877177.1199999996</v>
      </c>
      <c r="BH9" s="28">
        <v>354954</v>
      </c>
      <c r="BI9" s="28">
        <f t="shared" si="3"/>
        <v>2449369</v>
      </c>
      <c r="BJ9" s="28">
        <f>VLOOKUP(B9,[22]AKSoftSalesReport!$A:$B,2,0)</f>
        <v>514232</v>
      </c>
      <c r="BK9" s="28">
        <v>2804323</v>
      </c>
    </row>
    <row r="10" spans="1:63" x14ac:dyDescent="0.3">
      <c r="A10" s="239">
        <v>7</v>
      </c>
      <c r="B10" s="102" t="s">
        <v>226</v>
      </c>
      <c r="C10" s="70">
        <f>VLOOKUP(B10,[3]AKSoftSalesReport!$B$2:$C$87,2,0)</f>
        <v>1319770</v>
      </c>
      <c r="D10" s="7">
        <f t="shared" si="6"/>
        <v>5.0098868902153947E-2</v>
      </c>
      <c r="E10" s="85">
        <f t="shared" si="7"/>
        <v>1781515.7781605944</v>
      </c>
      <c r="F10" s="70">
        <v>1282737</v>
      </c>
      <c r="G10" s="7">
        <f t="shared" si="8"/>
        <v>4.8693085006434642E-2</v>
      </c>
      <c r="H10" s="85">
        <f t="shared" si="9"/>
        <v>1731526.1028288158</v>
      </c>
      <c r="I10" s="70">
        <v>1460669</v>
      </c>
      <c r="J10" s="7">
        <f t="shared" si="10"/>
        <v>5.5447437614463357E-2</v>
      </c>
      <c r="K10" s="85">
        <f t="shared" si="11"/>
        <v>1971710.8815703171</v>
      </c>
      <c r="L10" s="6">
        <v>2028378.3</v>
      </c>
      <c r="M10" s="7">
        <f t="shared" si="12"/>
        <v>7.6997854577444472E-2</v>
      </c>
      <c r="N10" s="85">
        <f t="shared" si="13"/>
        <v>2738043.7087739254</v>
      </c>
      <c r="O10" s="6">
        <v>2207643.12</v>
      </c>
      <c r="P10" s="7">
        <f t="shared" si="14"/>
        <v>8.3802801436327637E-2</v>
      </c>
      <c r="Q10" s="85">
        <f t="shared" si="15"/>
        <v>2980027.6190758105</v>
      </c>
      <c r="R10" s="6">
        <v>2255175</v>
      </c>
      <c r="S10" s="7">
        <f t="shared" si="16"/>
        <v>8.5607125996510783E-2</v>
      </c>
      <c r="T10" s="85">
        <f t="shared" si="17"/>
        <v>3044189.4004359236</v>
      </c>
      <c r="U10" s="71">
        <f>VLOOKUP(B10,[9]AKSoftSalesReport!$B$2:$C$94,2,0)</f>
        <v>2503631</v>
      </c>
      <c r="V10" s="7">
        <f t="shared" si="18"/>
        <v>9.5038591003257081E-2</v>
      </c>
      <c r="W10" s="85">
        <f t="shared" si="19"/>
        <v>3379572.2960758219</v>
      </c>
      <c r="X10" s="71">
        <f>VLOOKUP(B10,[10]AKSoftSalesReport!$B$2:$C$94,2,0)</f>
        <v>2686709.77999999</v>
      </c>
      <c r="Y10" s="7">
        <f t="shared" si="20"/>
        <v>0.101988316938826</v>
      </c>
      <c r="Z10" s="85">
        <f t="shared" si="21"/>
        <v>3626704.5503446525</v>
      </c>
      <c r="AA10" s="71">
        <f>VLOOKUP(B10,[11]AKSoftSalesReport!$B$2:$C$94,2,0)</f>
        <v>2643132</v>
      </c>
      <c r="AB10" s="7">
        <f t="shared" si="22"/>
        <v>0.10033409121217179</v>
      </c>
      <c r="AC10" s="85">
        <f t="shared" si="23"/>
        <v>3567880.2835048288</v>
      </c>
      <c r="AD10" s="51">
        <f>VLOOKUP(B10,[12]AKSoftSalesReport!$B$2:$C$89,2,0)</f>
        <v>2742692.09</v>
      </c>
      <c r="AE10" s="7">
        <f t="shared" si="24"/>
        <v>0.10411342238108505</v>
      </c>
      <c r="AF10" s="85">
        <f t="shared" si="25"/>
        <v>3702273.2998713842</v>
      </c>
      <c r="AG10" s="154">
        <f>VLOOKUP(B10,[13]AKSoftSalesReport!$B$2:$C$90,2,0)</f>
        <v>2557652</v>
      </c>
      <c r="AH10" s="7">
        <f t="shared" si="26"/>
        <v>9.7089244523918455E-2</v>
      </c>
      <c r="AI10" s="85">
        <f t="shared" si="27"/>
        <v>3452493.53527054</v>
      </c>
      <c r="AJ10" s="104">
        <f>VLOOKUP(B10,[14]AKSoftSalesReport!$A:$D,4,0)</f>
        <v>2677307.0285714287</v>
      </c>
      <c r="AK10" s="7">
        <f t="shared" si="28"/>
        <v>0.10163138564690465</v>
      </c>
      <c r="AL10" s="85">
        <f t="shared" si="29"/>
        <v>3614012.073603929</v>
      </c>
      <c r="AM10" s="6">
        <f t="shared" si="4"/>
        <v>26365496.318571419</v>
      </c>
      <c r="AN10" s="6"/>
      <c r="AO10" s="101">
        <v>26343309.318571419</v>
      </c>
      <c r="AP10" s="87">
        <f t="shared" si="30"/>
        <v>35563467.580071412</v>
      </c>
      <c r="AQ10" s="237">
        <v>0.35</v>
      </c>
      <c r="AR10" s="1">
        <v>35560000</v>
      </c>
      <c r="AS10" s="240">
        <f t="shared" si="31"/>
        <v>35589949.52951654</v>
      </c>
      <c r="AT10" s="31">
        <f t="shared" si="0"/>
        <v>29949.529516540468</v>
      </c>
      <c r="AU10" s="28">
        <f t="shared" si="5"/>
        <v>-22187</v>
      </c>
      <c r="AZ10" s="28">
        <v>635536</v>
      </c>
      <c r="BA10" s="28">
        <f t="shared" si="1"/>
        <v>1392842.3</v>
      </c>
      <c r="BB10" s="253">
        <v>615405</v>
      </c>
      <c r="BC10" s="28">
        <v>2028378.3</v>
      </c>
      <c r="BD10" s="28">
        <f>VLOOKUP(B10,[20]AKSoftSalesReport!$A:$B,2,0)</f>
        <v>362819</v>
      </c>
      <c r="BE10" s="28">
        <f t="shared" si="2"/>
        <v>1844824.12</v>
      </c>
      <c r="BF10" s="28">
        <f>VLOOKUP(B10,[21]AKSoftSalesReport!$A:$B,2,0)</f>
        <v>353218</v>
      </c>
      <c r="BG10" s="28">
        <v>2207643.12</v>
      </c>
      <c r="BH10" s="28">
        <v>353218</v>
      </c>
      <c r="BI10" s="28">
        <f t="shared" si="3"/>
        <v>1901957</v>
      </c>
      <c r="BJ10" s="28">
        <f>VLOOKUP(B10,[22]AKSoftSalesReport!$A:$B,2,0)</f>
        <v>385006</v>
      </c>
      <c r="BK10" s="28">
        <v>2255175</v>
      </c>
    </row>
    <row r="11" spans="1:63" x14ac:dyDescent="0.3">
      <c r="A11" s="61">
        <v>8</v>
      </c>
      <c r="B11" s="106" t="s">
        <v>229</v>
      </c>
      <c r="C11" s="70">
        <v>0</v>
      </c>
      <c r="D11" s="7">
        <f t="shared" si="6"/>
        <v>0</v>
      </c>
      <c r="E11" s="85">
        <f t="shared" si="7"/>
        <v>0</v>
      </c>
      <c r="F11" s="70">
        <v>0</v>
      </c>
      <c r="G11" s="7">
        <f t="shared" si="8"/>
        <v>0</v>
      </c>
      <c r="H11" s="85">
        <f t="shared" si="9"/>
        <v>0</v>
      </c>
      <c r="I11" s="70">
        <v>0</v>
      </c>
      <c r="J11" s="7">
        <f t="shared" si="10"/>
        <v>0</v>
      </c>
      <c r="K11" s="85">
        <f t="shared" si="11"/>
        <v>0</v>
      </c>
      <c r="L11" s="6">
        <v>0</v>
      </c>
      <c r="M11" s="7">
        <f t="shared" si="12"/>
        <v>0</v>
      </c>
      <c r="N11" s="85">
        <f t="shared" si="13"/>
        <v>0</v>
      </c>
      <c r="O11" s="6">
        <v>0</v>
      </c>
      <c r="P11" s="7">
        <f t="shared" si="14"/>
        <v>0</v>
      </c>
      <c r="Q11" s="85">
        <f t="shared" si="15"/>
        <v>0</v>
      </c>
      <c r="R11" s="6">
        <v>0</v>
      </c>
      <c r="S11" s="7">
        <f t="shared" si="16"/>
        <v>0</v>
      </c>
      <c r="T11" s="85">
        <f t="shared" si="17"/>
        <v>0</v>
      </c>
      <c r="U11" s="71">
        <f>VLOOKUP(B11,[9]AKSoftSalesReport!$B$2:$C$94,2,0)</f>
        <v>113312</v>
      </c>
      <c r="V11" s="7">
        <f t="shared" si="18"/>
        <v>1.2876363636363637E-2</v>
      </c>
      <c r="W11" s="85">
        <f t="shared" si="19"/>
        <v>152971.20000000001</v>
      </c>
      <c r="X11" s="71">
        <f>VLOOKUP(B11,[10]AKSoftSalesReport!$B$2:$C$94,2,0)</f>
        <v>699084</v>
      </c>
      <c r="Y11" s="7">
        <f t="shared" si="20"/>
        <v>7.9441363636363643E-2</v>
      </c>
      <c r="Z11" s="85">
        <f t="shared" si="21"/>
        <v>943763.40000000014</v>
      </c>
      <c r="AA11" s="71">
        <f>VLOOKUP(B11,[11]AKSoftSalesReport!$B$2:$C$94,2,0)</f>
        <v>779351</v>
      </c>
      <c r="AB11" s="7">
        <f t="shared" si="22"/>
        <v>8.8562613636363641E-2</v>
      </c>
      <c r="AC11" s="85">
        <f t="shared" si="23"/>
        <v>1052123.8500000001</v>
      </c>
      <c r="AD11" s="51">
        <f>VLOOKUP(B11,[12]AKSoftSalesReport!$B$2:$C$89,2,0)</f>
        <v>785299.2</v>
      </c>
      <c r="AE11" s="7">
        <f t="shared" si="24"/>
        <v>8.9238545454545445E-2</v>
      </c>
      <c r="AF11" s="85">
        <f t="shared" si="25"/>
        <v>1060153.92</v>
      </c>
      <c r="AG11" s="154">
        <f>VLOOKUP(B11,[13]AKSoftSalesReport!$B$2:$C$90,2,0)</f>
        <v>732208</v>
      </c>
      <c r="AH11" s="7">
        <f t="shared" si="26"/>
        <v>8.3205454545454541E-2</v>
      </c>
      <c r="AI11" s="85">
        <f t="shared" si="27"/>
        <v>988480.79999999993</v>
      </c>
      <c r="AJ11" s="104">
        <f>VLOOKUP(B11,[14]AKSoftSalesReport!$A:$D,4,0)</f>
        <v>812240.16714285722</v>
      </c>
      <c r="AK11" s="7">
        <f t="shared" si="28"/>
        <v>9.2300018993506497E-2</v>
      </c>
      <c r="AL11" s="85">
        <f t="shared" si="29"/>
        <v>1096524.2256428571</v>
      </c>
      <c r="AM11" s="6">
        <f t="shared" si="4"/>
        <v>3921494.3671428571</v>
      </c>
      <c r="AN11" s="6">
        <f>AM11/158</f>
        <v>24819.58460216998</v>
      </c>
      <c r="AO11" s="101">
        <v>8800000</v>
      </c>
      <c r="AP11" s="87">
        <f t="shared" si="30"/>
        <v>11880000</v>
      </c>
      <c r="AQ11" s="237">
        <v>0.35</v>
      </c>
      <c r="AR11" s="1">
        <v>11880000</v>
      </c>
      <c r="AS11" s="240">
        <f t="shared" si="31"/>
        <v>5294017.3956428571</v>
      </c>
      <c r="AT11" s="31">
        <f t="shared" si="0"/>
        <v>-6585982.6043571429</v>
      </c>
      <c r="AU11" s="28">
        <f t="shared" si="5"/>
        <v>4878505.6328571429</v>
      </c>
      <c r="AZ11" s="28">
        <v>0</v>
      </c>
      <c r="BA11" s="28">
        <f t="shared" si="1"/>
        <v>0</v>
      </c>
      <c r="BB11" s="253">
        <v>0</v>
      </c>
      <c r="BC11" s="28">
        <v>0</v>
      </c>
      <c r="BD11" s="28">
        <v>0</v>
      </c>
      <c r="BE11" s="28">
        <f t="shared" si="2"/>
        <v>0</v>
      </c>
      <c r="BF11" s="28">
        <v>0</v>
      </c>
      <c r="BG11" s="28">
        <v>0</v>
      </c>
      <c r="BH11" s="28">
        <v>0</v>
      </c>
      <c r="BI11" s="28">
        <f t="shared" si="3"/>
        <v>0</v>
      </c>
      <c r="BJ11" s="28">
        <v>0</v>
      </c>
      <c r="BK11" s="28">
        <v>0</v>
      </c>
    </row>
    <row r="12" spans="1:63" x14ac:dyDescent="0.3">
      <c r="A12" s="239">
        <v>9</v>
      </c>
      <c r="B12" s="89" t="s">
        <v>4</v>
      </c>
      <c r="C12" s="70">
        <f>VLOOKUP(B12,[3]AKSoftSalesReport!$B$2:$C$87,2,0)</f>
        <v>1437334.0000000005</v>
      </c>
      <c r="D12" s="7">
        <f t="shared" si="6"/>
        <v>6.9566942773177987E-2</v>
      </c>
      <c r="E12" s="85">
        <f t="shared" si="7"/>
        <v>1724564.5113470822</v>
      </c>
      <c r="F12" s="70">
        <v>1212710.5</v>
      </c>
      <c r="G12" s="7">
        <f t="shared" si="8"/>
        <v>5.8695168940505152E-2</v>
      </c>
      <c r="H12" s="85">
        <f t="shared" si="9"/>
        <v>1455053.2380351226</v>
      </c>
      <c r="I12" s="70">
        <v>1256356</v>
      </c>
      <c r="J12" s="7">
        <f t="shared" si="10"/>
        <v>6.0807610447355151E-2</v>
      </c>
      <c r="K12" s="85">
        <f t="shared" si="11"/>
        <v>1507420.6629899342</v>
      </c>
      <c r="L12" s="6">
        <v>1575387.2</v>
      </c>
      <c r="M12" s="7">
        <f t="shared" si="12"/>
        <v>7.6248715460705066E-2</v>
      </c>
      <c r="N12" s="85">
        <f t="shared" si="13"/>
        <v>1890205.6562708786</v>
      </c>
      <c r="O12" s="6">
        <v>1783704.99</v>
      </c>
      <c r="P12" s="7">
        <f t="shared" si="14"/>
        <v>8.6331293188334768E-2</v>
      </c>
      <c r="Q12" s="85">
        <f t="shared" si="15"/>
        <v>2140152.7581388187</v>
      </c>
      <c r="R12" s="6">
        <v>1746156.56</v>
      </c>
      <c r="S12" s="7">
        <f t="shared" si="16"/>
        <v>8.4513949772654987E-2</v>
      </c>
      <c r="T12" s="85">
        <f t="shared" si="17"/>
        <v>2095100.8148641172</v>
      </c>
      <c r="U12" s="71">
        <f>VLOOKUP(B12,[9]AKSoftSalesReport!$B$2:$C$94,2,0)</f>
        <v>1797603.67</v>
      </c>
      <c r="V12" s="7">
        <f t="shared" si="18"/>
        <v>8.7003989079604785E-2</v>
      </c>
      <c r="W12" s="85">
        <f t="shared" si="19"/>
        <v>2156828.8892834028</v>
      </c>
      <c r="X12" s="71">
        <f>VLOOKUP(B12,[10]AKSoftSalesReport!$B$2:$C$94,2,0)</f>
        <v>1841221.11</v>
      </c>
      <c r="Y12" s="7">
        <f t="shared" si="20"/>
        <v>8.9115072482900431E-2</v>
      </c>
      <c r="Z12" s="85">
        <f t="shared" si="21"/>
        <v>2209162.6468511019</v>
      </c>
      <c r="AA12" s="71">
        <f>VLOOKUP(B12,[11]AKSoftSalesReport!$B$2:$C$94,2,0)</f>
        <v>1900839.1300000011</v>
      </c>
      <c r="AB12" s="7">
        <f t="shared" si="22"/>
        <v>9.2000583704085107E-2</v>
      </c>
      <c r="AC12" s="85">
        <f t="shared" si="23"/>
        <v>2280694.47002427</v>
      </c>
      <c r="AD12" s="51">
        <f>VLOOKUP(B12,[12]AKSoftSalesReport!$B$2:$C$89,2,0)</f>
        <v>2225299.1500000004</v>
      </c>
      <c r="AE12" s="7">
        <f t="shared" si="24"/>
        <v>0.10770444351921793</v>
      </c>
      <c r="AF12" s="85">
        <f t="shared" si="25"/>
        <v>2669993.1548414123</v>
      </c>
      <c r="AG12" s="154">
        <f>VLOOKUP(B12,[13]AKSoftSalesReport!$B$2:$C$90,2,0)</f>
        <v>1936676</v>
      </c>
      <c r="AH12" s="7">
        <f t="shared" si="26"/>
        <v>9.3735087642946732E-2</v>
      </c>
      <c r="AI12" s="85">
        <f t="shared" si="27"/>
        <v>2323692.8226686497</v>
      </c>
      <c r="AJ12" s="104">
        <f>VLOOKUP(B12,[14]AKSoftSalesReport!$A:$D,4,0)</f>
        <v>1930883.7142857143</v>
      </c>
      <c r="AK12" s="7">
        <f t="shared" si="28"/>
        <v>9.3454741106364689E-2</v>
      </c>
      <c r="AL12" s="85">
        <f t="shared" si="29"/>
        <v>2316743.0320267808</v>
      </c>
      <c r="AM12" s="6">
        <f t="shared" si="4"/>
        <v>20644172.024285715</v>
      </c>
      <c r="AN12" s="6"/>
      <c r="AO12" s="104">
        <v>20661163.804285713</v>
      </c>
      <c r="AP12" s="87">
        <f t="shared" si="30"/>
        <v>24793396.565142855</v>
      </c>
      <c r="AQ12" s="237">
        <v>0.2</v>
      </c>
      <c r="AR12" s="25">
        <v>24790000</v>
      </c>
      <c r="AS12" s="240">
        <f t="shared" si="31"/>
        <v>24769612.65734157</v>
      </c>
      <c r="AT12" s="31">
        <f t="shared" si="0"/>
        <v>-20387.342658430338</v>
      </c>
      <c r="AU12" s="28">
        <f t="shared" si="5"/>
        <v>16991.779999997467</v>
      </c>
      <c r="AZ12" s="28">
        <v>498431</v>
      </c>
      <c r="BA12" s="28">
        <f t="shared" si="1"/>
        <v>1076956.2</v>
      </c>
      <c r="BB12" s="253">
        <v>574818</v>
      </c>
      <c r="BC12" s="28">
        <v>1575387.2</v>
      </c>
      <c r="BD12" s="28">
        <f>VLOOKUP(B12,[20]AKSoftSalesReport!$A:$B,2,0)</f>
        <v>318449</v>
      </c>
      <c r="BE12" s="28">
        <f t="shared" si="2"/>
        <v>1465255.99</v>
      </c>
      <c r="BF12" s="28">
        <f>VLOOKUP(B12,[21]AKSoftSalesReport!$A:$B,2,0)</f>
        <v>261410.99</v>
      </c>
      <c r="BG12" s="28">
        <v>1783704.99</v>
      </c>
      <c r="BH12" s="28">
        <v>261410.99</v>
      </c>
      <c r="BI12" s="28">
        <f t="shared" si="3"/>
        <v>1484745.57</v>
      </c>
      <c r="BJ12" s="28">
        <f>VLOOKUP(B12,[22]AKSoftSalesReport!$A:$B,2,0)</f>
        <v>301457.22000000003</v>
      </c>
      <c r="BK12" s="28">
        <v>1746156.56</v>
      </c>
    </row>
    <row r="13" spans="1:63" x14ac:dyDescent="0.3">
      <c r="A13" s="61">
        <v>10</v>
      </c>
      <c r="B13" s="90" t="s">
        <v>69</v>
      </c>
      <c r="C13" s="70">
        <f>VLOOKUP(B13,[3]AKSoftSalesReport!$B$2:$C$87,2,0)</f>
        <v>1895646.6200000006</v>
      </c>
      <c r="D13" s="7">
        <f t="shared" si="6"/>
        <v>6.9440830907346013E-2</v>
      </c>
      <c r="E13" s="85">
        <f t="shared" si="7"/>
        <v>2274534.4163701185</v>
      </c>
      <c r="F13" s="70">
        <v>1626980</v>
      </c>
      <c r="G13" s="7">
        <f t="shared" si="8"/>
        <v>5.9599105591544153E-2</v>
      </c>
      <c r="H13" s="85">
        <f t="shared" si="9"/>
        <v>1952168.7036510287</v>
      </c>
      <c r="I13" s="70">
        <v>1599055</v>
      </c>
      <c r="J13" s="7">
        <f t="shared" si="10"/>
        <v>5.8576164299307086E-2</v>
      </c>
      <c r="K13" s="85">
        <f t="shared" si="11"/>
        <v>1918662.2616238035</v>
      </c>
      <c r="L13" s="6">
        <v>2148996.830000001</v>
      </c>
      <c r="M13" s="7">
        <f t="shared" si="12"/>
        <v>7.8721489500217415E-2</v>
      </c>
      <c r="N13" s="85">
        <f t="shared" si="13"/>
        <v>2578522.3885796214</v>
      </c>
      <c r="O13" s="6">
        <v>2429350.15</v>
      </c>
      <c r="P13" s="7">
        <f t="shared" si="14"/>
        <v>8.8991318952097526E-2</v>
      </c>
      <c r="Q13" s="85">
        <f t="shared" si="15"/>
        <v>2914910.6522759544</v>
      </c>
      <c r="R13" s="6">
        <v>2419906.67</v>
      </c>
      <c r="S13" s="7">
        <f t="shared" si="16"/>
        <v>8.8645387864025371E-2</v>
      </c>
      <c r="T13" s="85">
        <f t="shared" si="17"/>
        <v>2903579.6794861509</v>
      </c>
      <c r="U13" s="71">
        <f>VLOOKUP(B13,[9]AKSoftSalesReport!$B$2:$C$94,2,0)</f>
        <v>2629170</v>
      </c>
      <c r="V13" s="7">
        <f t="shared" si="18"/>
        <v>9.6311067405942391E-2</v>
      </c>
      <c r="W13" s="85">
        <f t="shared" si="19"/>
        <v>3154669.0128816431</v>
      </c>
      <c r="X13" s="71">
        <f>VLOOKUP(B13,[10]AKSoftSalesReport!$B$2:$C$94,2,0)</f>
        <v>2748037.1199999684</v>
      </c>
      <c r="Y13" s="7">
        <f t="shared" si="20"/>
        <v>0.100665376639148</v>
      </c>
      <c r="Z13" s="85">
        <f t="shared" si="21"/>
        <v>3297294.4118152927</v>
      </c>
      <c r="AA13" s="71">
        <f>VLOOKUP(B13,[11]AKSoftSalesReport!$B$2:$C$94,2,0)</f>
        <v>2517594.0199999996</v>
      </c>
      <c r="AB13" s="7">
        <f t="shared" si="22"/>
        <v>9.2223845305178978E-2</v>
      </c>
      <c r="AC13" s="85">
        <f t="shared" si="23"/>
        <v>3020792.0529711372</v>
      </c>
      <c r="AD13" s="51">
        <f>VLOOKUP(B13,[12]AKSoftSalesReport!$B$2:$C$89,2,0)</f>
        <v>2698669.2</v>
      </c>
      <c r="AE13" s="7">
        <f t="shared" si="24"/>
        <v>9.8856943912923337E-2</v>
      </c>
      <c r="AF13" s="85">
        <f t="shared" si="25"/>
        <v>3238059.1978678037</v>
      </c>
      <c r="AG13" s="154">
        <f>VLOOKUP(B13,[13]AKSoftSalesReport!$B$2:$C$90,2,0)</f>
        <v>2243242</v>
      </c>
      <c r="AH13" s="7">
        <f t="shared" si="26"/>
        <v>8.2173853904403682E-2</v>
      </c>
      <c r="AI13" s="85">
        <f t="shared" si="27"/>
        <v>2691604.5846387427</v>
      </c>
      <c r="AJ13" s="104">
        <f>VLOOKUP(B13,[14]AKSoftSalesReport!$A:$D,4,0)</f>
        <v>2373094.2857142854</v>
      </c>
      <c r="AK13" s="7">
        <f t="shared" si="28"/>
        <v>8.6930568853320719E-2</v>
      </c>
      <c r="AL13" s="85">
        <f t="shared" si="29"/>
        <v>2847410.7827905202</v>
      </c>
      <c r="AM13" s="6">
        <f t="shared" si="4"/>
        <v>27329741.895714253</v>
      </c>
      <c r="AN13" s="6"/>
      <c r="AO13" s="73">
        <v>27298731.815714259</v>
      </c>
      <c r="AP13" s="87">
        <f t="shared" si="30"/>
        <v>32758478.17885711</v>
      </c>
      <c r="AQ13" s="237">
        <v>0.2</v>
      </c>
      <c r="AR13" s="25">
        <v>32755000</v>
      </c>
      <c r="AS13" s="240">
        <f t="shared" si="31"/>
        <v>32792208.14495182</v>
      </c>
      <c r="AT13" s="31">
        <f t="shared" si="0"/>
        <v>37208.144951820374</v>
      </c>
      <c r="AU13" s="28">
        <f t="shared" si="5"/>
        <v>-31010.079999994487</v>
      </c>
      <c r="AZ13" s="28">
        <v>699421</v>
      </c>
      <c r="BA13" s="28">
        <f t="shared" si="1"/>
        <v>1449575.830000001</v>
      </c>
      <c r="BB13" s="253">
        <v>742161</v>
      </c>
      <c r="BC13" s="28">
        <v>2148996.830000001</v>
      </c>
      <c r="BD13" s="28">
        <f>VLOOKUP(B13,[20]AKSoftSalesReport!$A:$B,2,0)</f>
        <v>393754.92000000004</v>
      </c>
      <c r="BE13" s="28">
        <f t="shared" si="2"/>
        <v>2035595.23</v>
      </c>
      <c r="BF13" s="28">
        <f>VLOOKUP(B13,[21]AKSoftSalesReport!$A:$B,2,0)</f>
        <v>409352.79</v>
      </c>
      <c r="BG13" s="28">
        <v>2429350.15</v>
      </c>
      <c r="BH13" s="28">
        <v>409352.79</v>
      </c>
      <c r="BI13" s="28">
        <f t="shared" si="3"/>
        <v>2010553.88</v>
      </c>
      <c r="BJ13" s="28">
        <f>VLOOKUP(B13,[22]AKSoftSalesReport!$A:$B,2,0)</f>
        <v>424765</v>
      </c>
      <c r="BK13" s="28">
        <v>2419906.67</v>
      </c>
    </row>
    <row r="14" spans="1:63" x14ac:dyDescent="0.3">
      <c r="A14" s="239">
        <v>11</v>
      </c>
      <c r="B14" s="89" t="s">
        <v>148</v>
      </c>
      <c r="C14" s="70">
        <f>VLOOKUP(B14,[3]AKSoftSalesReport!$B$2:$C$87,2,0)</f>
        <v>637813.01</v>
      </c>
      <c r="D14" s="7">
        <f>C14/AO14</f>
        <v>4.7045747261281301E-2</v>
      </c>
      <c r="E14" s="85">
        <v>800000</v>
      </c>
      <c r="F14" s="70">
        <v>599460.5</v>
      </c>
      <c r="G14" s="7">
        <f t="shared" si="8"/>
        <v>4.4216826458465183E-2</v>
      </c>
      <c r="H14" s="85">
        <v>750000</v>
      </c>
      <c r="I14" s="70">
        <v>555913.46</v>
      </c>
      <c r="J14" s="7">
        <f t="shared" si="10"/>
        <v>4.1004751750523885E-2</v>
      </c>
      <c r="K14" s="85">
        <v>700000</v>
      </c>
      <c r="L14" s="6">
        <v>683499</v>
      </c>
      <c r="M14" s="7">
        <f t="shared" si="12"/>
        <v>5.0415593133383257E-2</v>
      </c>
      <c r="N14" s="85">
        <v>850000</v>
      </c>
      <c r="O14" s="6">
        <v>1146312</v>
      </c>
      <c r="P14" s="7">
        <f t="shared" si="14"/>
        <v>8.4553158667261888E-2</v>
      </c>
      <c r="Q14" s="85">
        <v>1430000</v>
      </c>
      <c r="R14" s="6">
        <v>1057944</v>
      </c>
      <c r="S14" s="7">
        <f t="shared" si="16"/>
        <v>7.803504359465635E-2</v>
      </c>
      <c r="T14" s="85">
        <v>1320000</v>
      </c>
      <c r="U14" s="71">
        <f>VLOOKUP(B14,[9]AKSoftSalesReport!$B$2:$C$94,2,0)</f>
        <v>1202895</v>
      </c>
      <c r="V14" s="7">
        <f t="shared" si="18"/>
        <v>8.8726779266949996E-2</v>
      </c>
      <c r="W14" s="85">
        <v>1500000</v>
      </c>
      <c r="X14" s="71">
        <f>VLOOKUP(B14,[10]AKSoftSalesReport!$B$2:$C$94,2,0)</f>
        <v>1626450</v>
      </c>
      <c r="Y14" s="7">
        <f t="shared" si="20"/>
        <v>0.11996863411912995</v>
      </c>
      <c r="Z14" s="85">
        <v>2040000</v>
      </c>
      <c r="AA14" s="71">
        <f>VLOOKUP(B14,[11]AKSoftSalesReport!$B$2:$C$94,2,0)</f>
        <v>1634680.01</v>
      </c>
      <c r="AB14" s="7">
        <f t="shared" si="22"/>
        <v>0.12057568816843167</v>
      </c>
      <c r="AC14" s="85">
        <v>2040000</v>
      </c>
      <c r="AD14" s="51">
        <f>VLOOKUP(B14,[12]AKSoftSalesReport!$B$2:$C$89,2,0)</f>
        <v>1641487</v>
      </c>
      <c r="AE14" s="7">
        <f t="shared" si="24"/>
        <v>0.12107777879080714</v>
      </c>
      <c r="AF14" s="85">
        <v>2050000</v>
      </c>
      <c r="AG14" s="154">
        <f>VLOOKUP(B14,[13]AKSoftSalesReport!$B$2:$C$90,2,0)</f>
        <v>1293340</v>
      </c>
      <c r="AH14" s="7">
        <f t="shared" si="26"/>
        <v>9.5398096007645816E-2</v>
      </c>
      <c r="AI14" s="85">
        <v>1600000</v>
      </c>
      <c r="AJ14" s="104">
        <f>VLOOKUP(B14,[14]AKSoftSalesReport!$A:$D,4,0)</f>
        <v>1499007.6571428573</v>
      </c>
      <c r="AK14" s="7">
        <f t="shared" si="28"/>
        <v>0.11056835510562614</v>
      </c>
      <c r="AL14" s="85">
        <v>1870000</v>
      </c>
      <c r="AM14" s="6">
        <f t="shared" si="4"/>
        <v>13578801.637142858</v>
      </c>
      <c r="AN14" s="6"/>
      <c r="AO14" s="104">
        <v>13557293.637142858</v>
      </c>
      <c r="AP14" s="87">
        <f>(AO14*AQ14)+AO14</f>
        <v>16946617.046428572</v>
      </c>
      <c r="AQ14" s="262">
        <v>0.25</v>
      </c>
      <c r="AR14" s="25">
        <v>16950000</v>
      </c>
      <c r="AS14" s="240">
        <f>E14+H14+K14+N14+Q14+T14+W14+Z14+AC14+AF14+AI14+AL14</f>
        <v>16950000</v>
      </c>
      <c r="AT14" s="31">
        <f>AS14-AR14</f>
        <v>0</v>
      </c>
      <c r="AU14" s="28">
        <f t="shared" si="5"/>
        <v>-21508</v>
      </c>
      <c r="AV14" s="261">
        <f>AP14-AR14</f>
        <v>-3382.9535714276135</v>
      </c>
      <c r="AZ14" s="28">
        <v>217113</v>
      </c>
      <c r="BA14" s="28">
        <f t="shared" si="1"/>
        <v>466386</v>
      </c>
      <c r="BB14" s="253">
        <v>262433</v>
      </c>
      <c r="BC14" s="28">
        <v>683499</v>
      </c>
      <c r="BD14" s="28">
        <f>VLOOKUP(B14,[20]AKSoftSalesReport!$A:$B,2,0)</f>
        <v>145615</v>
      </c>
      <c r="BE14" s="28">
        <f t="shared" si="2"/>
        <v>1000697</v>
      </c>
      <c r="BF14" s="28">
        <f>VLOOKUP(B14,[21]AKSoftSalesReport!$A:$B,2,0)</f>
        <v>162053</v>
      </c>
      <c r="BG14" s="28">
        <v>1146312</v>
      </c>
      <c r="BH14" s="28">
        <v>162053</v>
      </c>
      <c r="BI14" s="28">
        <f t="shared" si="3"/>
        <v>895891</v>
      </c>
      <c r="BJ14" s="28">
        <f>VLOOKUP(B14,[22]AKSoftSalesReport!$A:$B,2,0)</f>
        <v>167123</v>
      </c>
      <c r="BK14" s="28">
        <v>1057944</v>
      </c>
    </row>
    <row r="15" spans="1:63" x14ac:dyDescent="0.3">
      <c r="A15" s="61">
        <v>12</v>
      </c>
      <c r="B15" s="90" t="s">
        <v>103</v>
      </c>
      <c r="C15" s="70">
        <f>VLOOKUP(B15,[3]AKSoftSalesReport!$B$2:$C$87,2,0)</f>
        <v>863464.76000000047</v>
      </c>
      <c r="D15" s="7">
        <f t="shared" si="6"/>
        <v>8.8424542978287793E-2</v>
      </c>
      <c r="E15" s="85">
        <v>950000</v>
      </c>
      <c r="F15" s="70">
        <v>241143</v>
      </c>
      <c r="G15" s="7">
        <f t="shared" si="8"/>
        <v>2.4694649457857716E-2</v>
      </c>
      <c r="H15" s="85">
        <v>600000</v>
      </c>
      <c r="I15" s="70">
        <v>895392</v>
      </c>
      <c r="J15" s="7">
        <f t="shared" si="10"/>
        <v>9.1694105022207303E-2</v>
      </c>
      <c r="K15" s="85">
        <v>1000000</v>
      </c>
      <c r="L15" s="6">
        <v>851477.12000000011</v>
      </c>
      <c r="M15" s="7">
        <f t="shared" si="12"/>
        <v>8.7196928792402234E-2</v>
      </c>
      <c r="N15" s="85">
        <v>1060000</v>
      </c>
      <c r="O15" s="6">
        <v>927501.06</v>
      </c>
      <c r="P15" s="7">
        <f t="shared" si="14"/>
        <v>9.4982286645233158E-2</v>
      </c>
      <c r="Q15" s="85">
        <v>1150000</v>
      </c>
      <c r="R15" s="6">
        <v>866101</v>
      </c>
      <c r="S15" s="7">
        <f t="shared" si="16"/>
        <v>8.8694511514329777E-2</v>
      </c>
      <c r="T15" s="85">
        <v>1080000</v>
      </c>
      <c r="U15" s="71">
        <f>VLOOKUP(B15,[9]AKSoftSalesReport!$B$2:$C$94,2,0)</f>
        <v>856343</v>
      </c>
      <c r="V15" s="7">
        <f t="shared" si="18"/>
        <v>8.769522731611637E-2</v>
      </c>
      <c r="W15" s="85">
        <v>1070000</v>
      </c>
      <c r="X15" s="71">
        <f>VLOOKUP(B15,[10]AKSoftSalesReport!$B$2:$C$94,2,0)</f>
        <v>890508</v>
      </c>
      <c r="Y15" s="7">
        <f t="shared" si="20"/>
        <v>9.1193950889795511E-2</v>
      </c>
      <c r="Z15" s="85">
        <v>1100000</v>
      </c>
      <c r="AA15" s="71">
        <f>VLOOKUP(B15,[11]AKSoftSalesReport!$B$2:$C$94,2,0)</f>
        <v>816627</v>
      </c>
      <c r="AB15" s="7">
        <f t="shared" si="22"/>
        <v>8.3628044367126453E-2</v>
      </c>
      <c r="AC15" s="85">
        <v>1020000</v>
      </c>
      <c r="AD15" s="51">
        <f>VLOOKUP(B15,[12]AKSoftSalesReport!$B$2:$C$89,2,0)</f>
        <v>933222</v>
      </c>
      <c r="AE15" s="7">
        <f t="shared" si="24"/>
        <v>9.5568149008517331E-2</v>
      </c>
      <c r="AF15" s="85">
        <v>1150000</v>
      </c>
      <c r="AG15" s="154">
        <f>VLOOKUP(B15,[13]AKSoftSalesReport!$B$2:$C$90,2,0)</f>
        <v>813138</v>
      </c>
      <c r="AH15" s="7">
        <f t="shared" si="26"/>
        <v>8.3270747526834735E-2</v>
      </c>
      <c r="AI15" s="85">
        <v>1020000</v>
      </c>
      <c r="AJ15" s="104">
        <f>VLOOKUP(B15,[14]AKSoftSalesReport!$A:$D,4,0)</f>
        <v>775194.85714285716</v>
      </c>
      <c r="AK15" s="7">
        <f t="shared" si="28"/>
        <v>7.9385116958306676E-2</v>
      </c>
      <c r="AL15" s="85">
        <v>1000000</v>
      </c>
      <c r="AM15" s="6">
        <f t="shared" si="4"/>
        <v>9730111.7971428577</v>
      </c>
      <c r="AN15" s="6"/>
      <c r="AO15" s="104">
        <v>9764989.7971428577</v>
      </c>
      <c r="AP15" s="87">
        <f t="shared" si="30"/>
        <v>12206237.246428572</v>
      </c>
      <c r="AQ15" s="262">
        <v>0.25</v>
      </c>
      <c r="AR15" s="25">
        <v>12200000</v>
      </c>
      <c r="AS15" s="240">
        <f t="shared" si="31"/>
        <v>12200000</v>
      </c>
      <c r="AT15" s="31">
        <f t="shared" si="0"/>
        <v>0</v>
      </c>
      <c r="AU15" s="28">
        <f t="shared" si="5"/>
        <v>34878</v>
      </c>
      <c r="AV15" s="261">
        <f>AP15-AR15</f>
        <v>6237.2464285716414</v>
      </c>
      <c r="AZ15" s="28">
        <v>318348</v>
      </c>
      <c r="BA15" s="28">
        <f t="shared" si="1"/>
        <v>533129.12000000011</v>
      </c>
      <c r="BB15" s="253">
        <v>319679</v>
      </c>
      <c r="BC15" s="28">
        <v>851477.12000000011</v>
      </c>
      <c r="BD15" s="28">
        <f>VLOOKUP(B15,[20]AKSoftSalesReport!$A:$B,2,0)</f>
        <v>174232</v>
      </c>
      <c r="BE15" s="28">
        <f t="shared" si="2"/>
        <v>753269.06</v>
      </c>
      <c r="BF15" s="28">
        <f>VLOOKUP(B15,[21]AKSoftSalesReport!$A:$B,2,0)</f>
        <v>169371</v>
      </c>
      <c r="BG15" s="28">
        <v>927501.06</v>
      </c>
      <c r="BH15" s="28">
        <v>169371</v>
      </c>
      <c r="BI15" s="28">
        <f t="shared" si="3"/>
        <v>696730</v>
      </c>
      <c r="BJ15" s="28">
        <f>VLOOKUP(B15,[22]AKSoftSalesReport!$A:$B,2,0)</f>
        <v>139354</v>
      </c>
      <c r="BK15" s="28">
        <v>866101</v>
      </c>
    </row>
    <row r="16" spans="1:63" x14ac:dyDescent="0.3">
      <c r="A16" s="239">
        <v>13</v>
      </c>
      <c r="B16" s="89" t="s">
        <v>77</v>
      </c>
      <c r="C16" s="70">
        <f>VLOOKUP(B16,[3]AKSoftSalesReport!$B$2:$C$87,2,0)</f>
        <v>2067507.8000000077</v>
      </c>
      <c r="D16" s="7">
        <f>C16/AO16</f>
        <v>7.6159376362066641E-2</v>
      </c>
      <c r="E16" s="85">
        <f t="shared" si="7"/>
        <v>2687664.3918173318</v>
      </c>
      <c r="F16" s="70">
        <v>1574869.1500000001</v>
      </c>
      <c r="G16" s="7">
        <f t="shared" si="8"/>
        <v>5.8012382016579357E-2</v>
      </c>
      <c r="H16" s="85">
        <f t="shared" si="9"/>
        <v>2047256.9613650856</v>
      </c>
      <c r="I16" s="70">
        <v>1743507</v>
      </c>
      <c r="J16" s="7">
        <f t="shared" si="10"/>
        <v>6.4224379614382696E-2</v>
      </c>
      <c r="K16" s="85">
        <f t="shared" si="11"/>
        <v>2266478.3565915655</v>
      </c>
      <c r="L16" s="6">
        <v>1993600.0500000005</v>
      </c>
      <c r="M16" s="7">
        <f t="shared" si="12"/>
        <v>7.3436886924143324E-2</v>
      </c>
      <c r="N16" s="85">
        <f t="shared" si="13"/>
        <v>2591587.739553018</v>
      </c>
      <c r="O16" s="6">
        <v>2366449.4399999981</v>
      </c>
      <c r="P16" s="7">
        <f t="shared" si="14"/>
        <v>8.7171285904102044E-2</v>
      </c>
      <c r="Q16" s="85">
        <f t="shared" si="15"/>
        <v>3076274.6795557612</v>
      </c>
      <c r="R16" s="6">
        <v>2389095.7600000007</v>
      </c>
      <c r="S16" s="7">
        <f t="shared" si="16"/>
        <v>8.8005492966390264E-2</v>
      </c>
      <c r="T16" s="85">
        <f t="shared" si="17"/>
        <v>3105713.8467839123</v>
      </c>
      <c r="U16" s="71">
        <f>VLOOKUP(B16,[9]AKSoftSalesReport!$B$2:$C$94,2,0)</f>
        <v>2535882.3199999998</v>
      </c>
      <c r="V16" s="7">
        <f t="shared" si="18"/>
        <v>9.3412569480410171E-2</v>
      </c>
      <c r="W16" s="85">
        <f t="shared" si="19"/>
        <v>3296529.5769636747</v>
      </c>
      <c r="X16" s="71">
        <f>VLOOKUP(B16,[10]AKSoftSalesReport!$B$2:$C$94,2,0)</f>
        <v>2541893.34</v>
      </c>
      <c r="Y16" s="7">
        <f t="shared" si="20"/>
        <v>9.3633993329210116E-2</v>
      </c>
      <c r="Z16" s="85">
        <f t="shared" si="21"/>
        <v>3304343.624587825</v>
      </c>
      <c r="AA16" s="71">
        <f>VLOOKUP(B16,[11]AKSoftSalesReport!$B$2:$C$94,2,0)</f>
        <v>2398607.16</v>
      </c>
      <c r="AB16" s="7">
        <f t="shared" si="22"/>
        <v>8.8355857928655523E-2</v>
      </c>
      <c r="AC16" s="85">
        <f t="shared" si="23"/>
        <v>3118078.2263022535</v>
      </c>
      <c r="AD16" s="51">
        <f>VLOOKUP(B16,[12]AKSoftSalesReport!$B$2:$C$89,2,0)</f>
        <v>2503734</v>
      </c>
      <c r="AE16" s="7">
        <f t="shared" si="24"/>
        <v>9.2228343717253136E-2</v>
      </c>
      <c r="AF16" s="85">
        <f t="shared" si="25"/>
        <v>3254738.2497818633</v>
      </c>
      <c r="AG16" s="154">
        <f>VLOOKUP(B16,[13]AKSoftSalesReport!$B$2:$C$90,2,0)</f>
        <v>2529608</v>
      </c>
      <c r="AH16" s="7">
        <f t="shared" si="26"/>
        <v>9.3181446628880407E-2</v>
      </c>
      <c r="AI16" s="85">
        <f t="shared" si="27"/>
        <v>3288373.2515331898</v>
      </c>
      <c r="AJ16" s="104">
        <f>VLOOKUP(B16,[14]AKSoftSalesReport!$A:$D,4,0)</f>
        <v>2527513.5892857159</v>
      </c>
      <c r="AK16" s="7">
        <f t="shared" si="28"/>
        <v>9.3104296248192164E-2</v>
      </c>
      <c r="AL16" s="85">
        <f t="shared" si="29"/>
        <v>3285650.6145987017</v>
      </c>
      <c r="AM16" s="6">
        <f t="shared" si="4"/>
        <v>27172267.609285723</v>
      </c>
      <c r="AN16" s="6"/>
      <c r="AO16" s="73">
        <v>27147120.929285724</v>
      </c>
      <c r="AP16" s="87">
        <f>(AO16*AQ16)+AO16</f>
        <v>35291257.20807144</v>
      </c>
      <c r="AQ16" s="237">
        <v>0.3</v>
      </c>
      <c r="AR16" s="25">
        <v>35290000</v>
      </c>
      <c r="AS16" s="240">
        <f>E16+H16+K16+N16+Q16+T16+W16+Z16+AC16+AF16+AI16+AL16</f>
        <v>35322689.519434184</v>
      </c>
      <c r="AT16" s="31">
        <f>AS16-AR16</f>
        <v>32689.519434183836</v>
      </c>
      <c r="AU16" s="28">
        <f t="shared" si="5"/>
        <v>-25146.679999999702</v>
      </c>
      <c r="AZ16" s="28">
        <v>650701</v>
      </c>
      <c r="BA16" s="28">
        <f t="shared" si="1"/>
        <v>1342899.0500000005</v>
      </c>
      <c r="BB16" s="253">
        <v>661675.5</v>
      </c>
      <c r="BC16" s="28">
        <v>1993600.0500000005</v>
      </c>
      <c r="BD16" s="28">
        <f>VLOOKUP(B16,[20]AKSoftSalesReport!$A:$B,2,0)</f>
        <v>389866</v>
      </c>
      <c r="BE16" s="28">
        <f t="shared" si="2"/>
        <v>1976583.4399999981</v>
      </c>
      <c r="BF16" s="28">
        <f>VLOOKUP(B16,[21]AKSoftSalesReport!$A:$B,2,0)</f>
        <v>411029.45000000007</v>
      </c>
      <c r="BG16" s="28">
        <v>2366449.4399999981</v>
      </c>
      <c r="BH16" s="28">
        <v>411029.45000000007</v>
      </c>
      <c r="BI16" s="28">
        <f t="shared" si="3"/>
        <v>1978066.3100000005</v>
      </c>
      <c r="BJ16" s="28">
        <f>VLOOKUP(B16,[22]AKSoftSalesReport!$A:$B,2,0)</f>
        <v>415012.68000000017</v>
      </c>
      <c r="BK16" s="28">
        <v>2389095.7600000007</v>
      </c>
    </row>
    <row r="17" spans="1:63" x14ac:dyDescent="0.3">
      <c r="A17" s="61">
        <v>14</v>
      </c>
      <c r="B17" s="90" t="s">
        <v>64</v>
      </c>
      <c r="C17" s="70">
        <f>VLOOKUP(B17,[3]AKSoftSalesReport!$B$2:$C$87,2,0)</f>
        <v>857161.80000000063</v>
      </c>
      <c r="D17" s="7">
        <f>C17/AO17</f>
        <v>8.0670017819113024E-2</v>
      </c>
      <c r="E17" s="85">
        <f t="shared" si="7"/>
        <v>1045483.4309357048</v>
      </c>
      <c r="F17" s="70">
        <v>734760.5</v>
      </c>
      <c r="G17" s="7">
        <f t="shared" si="8"/>
        <v>6.9150471506990108E-2</v>
      </c>
      <c r="H17" s="85">
        <f t="shared" si="9"/>
        <v>896190.11073059181</v>
      </c>
      <c r="I17" s="70">
        <v>856693</v>
      </c>
      <c r="J17" s="7">
        <f t="shared" si="10"/>
        <v>8.0625897672422342E-2</v>
      </c>
      <c r="K17" s="85">
        <f t="shared" si="11"/>
        <v>1044911.6338345936</v>
      </c>
      <c r="L17" s="6">
        <v>841237</v>
      </c>
      <c r="M17" s="7">
        <f t="shared" si="12"/>
        <v>7.9171288057980585E-2</v>
      </c>
      <c r="N17" s="85">
        <f t="shared" si="13"/>
        <v>1026059.8932314283</v>
      </c>
      <c r="O17" s="6">
        <v>1033001</v>
      </c>
      <c r="P17" s="7">
        <f t="shared" si="14"/>
        <v>9.7218762055380339E-2</v>
      </c>
      <c r="Q17" s="85">
        <f t="shared" si="15"/>
        <v>1259955.1562377291</v>
      </c>
      <c r="R17" s="6">
        <v>796395</v>
      </c>
      <c r="S17" s="7">
        <f t="shared" si="16"/>
        <v>7.4951075562457961E-2</v>
      </c>
      <c r="T17" s="85">
        <f t="shared" si="17"/>
        <v>971365.93928945519</v>
      </c>
      <c r="U17" s="71">
        <f>VLOOKUP(B17,[9]AKSoftSalesReport!$B$2:$C$94,2,0)</f>
        <v>968392</v>
      </c>
      <c r="V17" s="7">
        <f t="shared" si="18"/>
        <v>9.1138219057226355E-2</v>
      </c>
      <c r="W17" s="85">
        <f t="shared" si="19"/>
        <v>1181151.3189816535</v>
      </c>
      <c r="X17" s="71">
        <f>VLOOKUP(B17,[10]AKSoftSalesReport!$B$2:$C$94,2,0)</f>
        <v>870717</v>
      </c>
      <c r="Y17" s="7">
        <f t="shared" si="20"/>
        <v>8.1945737555505369E-2</v>
      </c>
      <c r="Z17" s="85">
        <f t="shared" si="21"/>
        <v>1062016.7587193495</v>
      </c>
      <c r="AA17" s="71">
        <f>VLOOKUP(B17,[11]AKSoftSalesReport!$B$2:$C$94,2,0)</f>
        <v>969573</v>
      </c>
      <c r="AB17" s="7">
        <f t="shared" si="22"/>
        <v>9.1249366440420962E-2</v>
      </c>
      <c r="AC17" s="85">
        <f t="shared" si="23"/>
        <v>1182591.7890678556</v>
      </c>
      <c r="AD17" s="51">
        <f>VLOOKUP(B17,[12]AKSoftSalesReport!$B$2:$C$89,2,0)</f>
        <v>1022746.58</v>
      </c>
      <c r="AE17" s="7">
        <f t="shared" si="24"/>
        <v>9.6253688432028639E-2</v>
      </c>
      <c r="AF17" s="85">
        <f t="shared" si="25"/>
        <v>1247447.8020790911</v>
      </c>
      <c r="AG17" s="154">
        <f>VLOOKUP(B17,[13]AKSoftSalesReport!$B$2:$C$90,2,0)</f>
        <v>859725</v>
      </c>
      <c r="AH17" s="7">
        <f t="shared" si="26"/>
        <v>8.0911248109209841E-2</v>
      </c>
      <c r="AI17" s="85">
        <f t="shared" si="27"/>
        <v>1048609.7754953594</v>
      </c>
      <c r="AJ17" s="104">
        <f>VLOOKUP(B17,[14]AKSoftSalesReport!$A:$D,4,0)</f>
        <v>814343.42857142864</v>
      </c>
      <c r="AK17" s="7">
        <f t="shared" si="28"/>
        <v>7.6640254959722542E-2</v>
      </c>
      <c r="AL17" s="85">
        <f t="shared" si="29"/>
        <v>993257.70427800412</v>
      </c>
      <c r="AM17" s="6">
        <f t="shared" si="4"/>
        <v>10624745.30857143</v>
      </c>
      <c r="AN17" s="6"/>
      <c r="AO17" s="73">
        <v>10625531.30857143</v>
      </c>
      <c r="AP17" s="87">
        <f>(AO17*AQ17)+AO17</f>
        <v>12963148.196457144</v>
      </c>
      <c r="AQ17" s="237">
        <v>0.22</v>
      </c>
      <c r="AR17" s="1">
        <v>12960000</v>
      </c>
      <c r="AS17" s="240">
        <f>E17+H17+K17+N17+Q17+T17+W17+Z17+AC17+AF17+AI17+AL17</f>
        <v>12959041.312880814</v>
      </c>
      <c r="AT17" s="31">
        <f>AS17-AR17</f>
        <v>-958.68711918592453</v>
      </c>
      <c r="AU17" s="28">
        <f t="shared" si="5"/>
        <v>786</v>
      </c>
      <c r="AZ17" s="28">
        <v>292538</v>
      </c>
      <c r="BA17" s="28">
        <f t="shared" si="1"/>
        <v>548699</v>
      </c>
      <c r="BB17" s="253">
        <v>268822</v>
      </c>
      <c r="BC17" s="28">
        <v>841237</v>
      </c>
      <c r="BD17" s="28">
        <f>VLOOKUP(B17,[20]AKSoftSalesReport!$A:$B,2,0)</f>
        <v>143734</v>
      </c>
      <c r="BE17" s="28">
        <f t="shared" si="2"/>
        <v>889267</v>
      </c>
      <c r="BF17" s="28">
        <f>VLOOKUP(B17,[21]AKSoftSalesReport!$A:$B,2,0)</f>
        <v>189178</v>
      </c>
      <c r="BG17" s="28">
        <v>1033001</v>
      </c>
      <c r="BH17" s="28">
        <v>189178</v>
      </c>
      <c r="BI17" s="28">
        <f t="shared" si="3"/>
        <v>607217</v>
      </c>
      <c r="BJ17" s="28">
        <f>VLOOKUP(B17,[22]AKSoftSalesReport!$A:$B,2,0)</f>
        <v>142948</v>
      </c>
      <c r="BK17" s="28">
        <v>796395</v>
      </c>
    </row>
    <row r="18" spans="1:63" x14ac:dyDescent="0.3">
      <c r="A18" s="239">
        <v>15</v>
      </c>
      <c r="B18" s="89" t="s">
        <v>6</v>
      </c>
      <c r="C18" s="70">
        <f>VLOOKUP(B18,[3]AKSoftSalesReport!$B$2:$C$87,2,0)</f>
        <v>3419879.8399999766</v>
      </c>
      <c r="D18" s="7">
        <f t="shared" si="6"/>
        <v>7.8502794562278072E-2</v>
      </c>
      <c r="E18" s="85">
        <f t="shared" si="7"/>
        <v>4274477.1639160411</v>
      </c>
      <c r="F18" s="70">
        <v>2640512.5099999998</v>
      </c>
      <c r="G18" s="7">
        <f t="shared" si="8"/>
        <v>6.0612542197288614E-2</v>
      </c>
      <c r="H18" s="85">
        <f t="shared" si="9"/>
        <v>3300352.9226423651</v>
      </c>
      <c r="I18" s="70">
        <v>2620854</v>
      </c>
      <c r="J18" s="7">
        <f t="shared" si="10"/>
        <v>6.0161284245509095E-2</v>
      </c>
      <c r="K18" s="85">
        <f t="shared" si="11"/>
        <v>3275781.9271679702</v>
      </c>
      <c r="L18" s="6">
        <v>3308996.1699999957</v>
      </c>
      <c r="M18" s="7">
        <f t="shared" si="12"/>
        <v>7.5957477658301714E-2</v>
      </c>
      <c r="N18" s="85">
        <f t="shared" si="13"/>
        <v>4135884.6584945284</v>
      </c>
      <c r="O18" s="6">
        <v>3475690.779999977</v>
      </c>
      <c r="P18" s="7">
        <f t="shared" si="14"/>
        <v>7.9783925760486402E-2</v>
      </c>
      <c r="Q18" s="85">
        <f t="shared" si="15"/>
        <v>4344234.7576584844</v>
      </c>
      <c r="R18" s="6">
        <v>3787948.7899999735</v>
      </c>
      <c r="S18" s="7">
        <f t="shared" si="16"/>
        <v>8.695175842020221E-2</v>
      </c>
      <c r="T18" s="85">
        <f t="shared" si="17"/>
        <v>4734523.2459800104</v>
      </c>
      <c r="U18" s="71">
        <f>VLOOKUP(B18,[9]AKSoftSalesReport!$B$2:$C$94,2,0)</f>
        <v>3868911.5899999957</v>
      </c>
      <c r="V18" s="7">
        <f t="shared" si="18"/>
        <v>8.8810246540530019E-2</v>
      </c>
      <c r="W18" s="85">
        <f t="shared" si="19"/>
        <v>4835717.9241318591</v>
      </c>
      <c r="X18" s="71">
        <f>VLOOKUP(B18,[10]AKSoftSalesReport!$B$2:$C$94,2,0)</f>
        <v>3996395.4799999902</v>
      </c>
      <c r="Y18" s="7">
        <f t="shared" si="20"/>
        <v>9.1736618838648462E-2</v>
      </c>
      <c r="Z18" s="85">
        <f t="shared" si="21"/>
        <v>4995058.8957644086</v>
      </c>
      <c r="AA18" s="71">
        <f>VLOOKUP(B18,[11]AKSoftSalesReport!$B$2:$C$94,2,0)</f>
        <v>4002004.519999994</v>
      </c>
      <c r="AB18" s="7">
        <f t="shared" si="22"/>
        <v>9.1865373454428148E-2</v>
      </c>
      <c r="AC18" s="85">
        <f t="shared" si="23"/>
        <v>5002069.5845936127</v>
      </c>
      <c r="AD18" s="51">
        <f>VLOOKUP(B18,[12]AKSoftSalesReport!$B$2:$C$89,2,0)</f>
        <v>4227962.1999999601</v>
      </c>
      <c r="AE18" s="7">
        <f t="shared" si="24"/>
        <v>9.7052195846646011E-2</v>
      </c>
      <c r="AF18" s="85">
        <f t="shared" si="25"/>
        <v>5284492.0638498757</v>
      </c>
      <c r="AG18" s="154">
        <f>VLOOKUP(B18,[13]AKSoftSalesReport!$B$2:$C$90,2,0)</f>
        <v>4127256</v>
      </c>
      <c r="AH18" s="7">
        <f t="shared" si="26"/>
        <v>9.474050113817209E-2</v>
      </c>
      <c r="AI18" s="85">
        <f t="shared" si="27"/>
        <v>5158620.2869734699</v>
      </c>
      <c r="AJ18" s="104">
        <f>VLOOKUP(B18,[14]AKSoftSalesReport!$A:$D,4,0)</f>
        <v>4135214.6200000006</v>
      </c>
      <c r="AK18" s="7">
        <f t="shared" si="28"/>
        <v>9.4923189986929793E-2</v>
      </c>
      <c r="AL18" s="85">
        <f t="shared" si="29"/>
        <v>5168567.6947883274</v>
      </c>
      <c r="AM18" s="6">
        <f t="shared" si="4"/>
        <v>43611626.499999858</v>
      </c>
      <c r="AN18" s="6"/>
      <c r="AO18" s="104">
        <v>43563797.429999858</v>
      </c>
      <c r="AP18" s="87">
        <f t="shared" si="30"/>
        <v>54454746.787499823</v>
      </c>
      <c r="AQ18" s="237">
        <v>0.25</v>
      </c>
      <c r="AR18" s="25">
        <v>54450000</v>
      </c>
      <c r="AS18" s="240">
        <f t="shared" si="31"/>
        <v>54509781.125960954</v>
      </c>
      <c r="AT18" s="31">
        <f t="shared" ref="AT18:AT56" si="32">AS18-AR18</f>
        <v>59781.125960953534</v>
      </c>
      <c r="AU18" s="28">
        <f t="shared" si="5"/>
        <v>-47829.070000000298</v>
      </c>
      <c r="AZ18" s="28">
        <v>986529</v>
      </c>
      <c r="BA18" s="28">
        <f t="shared" si="1"/>
        <v>2322467.1699999957</v>
      </c>
      <c r="BB18" s="253">
        <v>1104068.5</v>
      </c>
      <c r="BC18" s="28">
        <v>3308996.1699999957</v>
      </c>
      <c r="BD18" s="28">
        <f>VLOOKUP(B18,[20]AKSoftSalesReport!$A:$B,2,0)</f>
        <v>611079.54000000027</v>
      </c>
      <c r="BE18" s="28">
        <f t="shared" si="2"/>
        <v>2864611.2399999769</v>
      </c>
      <c r="BF18" s="28">
        <f>VLOOKUP(B18,[21]AKSoftSalesReport!$A:$B,2,0)</f>
        <v>481187.86000000045</v>
      </c>
      <c r="BG18" s="28">
        <v>3475690.779999977</v>
      </c>
      <c r="BH18" s="28">
        <v>481187.86000000045</v>
      </c>
      <c r="BI18" s="28">
        <f t="shared" si="3"/>
        <v>3306760.9299999732</v>
      </c>
      <c r="BJ18" s="28">
        <f>VLOOKUP(B18,[22]AKSoftSalesReport!$A:$B,2,0)</f>
        <v>658908.61000000034</v>
      </c>
      <c r="BK18" s="28">
        <v>3787948.7899999735</v>
      </c>
    </row>
    <row r="19" spans="1:63" x14ac:dyDescent="0.3">
      <c r="A19" s="61">
        <v>16</v>
      </c>
      <c r="B19" s="90" t="s">
        <v>70</v>
      </c>
      <c r="C19" s="70">
        <f>VLOOKUP(B19,[3]AKSoftSalesReport!$B$2:$C$87,2,0)</f>
        <v>3447122.6299999538</v>
      </c>
      <c r="D19" s="7">
        <f t="shared" si="6"/>
        <v>8.1746875975916983E-2</v>
      </c>
      <c r="E19" s="85">
        <f t="shared" si="7"/>
        <v>3963906.0160722146</v>
      </c>
      <c r="F19" s="70">
        <v>2555125.7999999993</v>
      </c>
      <c r="G19" s="7">
        <f t="shared" si="8"/>
        <v>6.0593594802128753E-2</v>
      </c>
      <c r="H19" s="85">
        <f t="shared" si="9"/>
        <v>2938183.4119552234</v>
      </c>
      <c r="I19" s="70">
        <v>2871242</v>
      </c>
      <c r="J19" s="7">
        <f t="shared" si="10"/>
        <v>6.8090140347239966E-2</v>
      </c>
      <c r="K19" s="85">
        <f t="shared" si="11"/>
        <v>3301690.905437666</v>
      </c>
      <c r="L19" s="6">
        <v>3327313.5599999996</v>
      </c>
      <c r="M19" s="7">
        <f t="shared" si="12"/>
        <v>7.8905660783617201E-2</v>
      </c>
      <c r="N19" s="85">
        <f t="shared" si="13"/>
        <v>3826135.4913975983</v>
      </c>
      <c r="O19" s="6">
        <v>3523885.2599999933</v>
      </c>
      <c r="P19" s="7">
        <f t="shared" si="14"/>
        <v>8.3567265288321133E-2</v>
      </c>
      <c r="Q19" s="85">
        <f t="shared" si="15"/>
        <v>4052176.6938306917</v>
      </c>
      <c r="R19" s="6">
        <v>3621329.8499999829</v>
      </c>
      <c r="S19" s="7">
        <f t="shared" si="16"/>
        <v>8.5878117459325373E-2</v>
      </c>
      <c r="T19" s="85">
        <f t="shared" si="17"/>
        <v>4164229.9156026873</v>
      </c>
      <c r="U19" s="71">
        <f>VLOOKUP(B19,[9]AKSoftSalesReport!$B$2:$C$94,2,0)</f>
        <v>4291155.5</v>
      </c>
      <c r="V19" s="7">
        <f t="shared" si="18"/>
        <v>0.10176271461856252</v>
      </c>
      <c r="W19" s="85">
        <f t="shared" si="19"/>
        <v>4934474.0318540968</v>
      </c>
      <c r="X19" s="71">
        <f>VLOOKUP(B19,[10]AKSoftSalesReport!$B$2:$C$94,2,0)</f>
        <v>4064131.2999999942</v>
      </c>
      <c r="Y19" s="7">
        <f t="shared" si="20"/>
        <v>9.6378943539628642E-2</v>
      </c>
      <c r="Z19" s="85">
        <f t="shared" si="21"/>
        <v>4673414.9722365933</v>
      </c>
      <c r="AA19" s="71">
        <f>VLOOKUP(B19,[11]AKSoftSalesReport!$B$2:$C$94,2,0)</f>
        <v>3826800.8100000019</v>
      </c>
      <c r="AB19" s="7">
        <f t="shared" si="22"/>
        <v>9.0750763688268607E-2</v>
      </c>
      <c r="AC19" s="85">
        <f t="shared" si="23"/>
        <v>4400504.5312441448</v>
      </c>
      <c r="AD19" s="51">
        <f>VLOOKUP(B19,[12]AKSoftSalesReport!$B$2:$C$89,2,0)</f>
        <v>3802872</v>
      </c>
      <c r="AE19" s="7">
        <f t="shared" si="24"/>
        <v>9.0183303323993297E-2</v>
      </c>
      <c r="AF19" s="85">
        <f t="shared" si="25"/>
        <v>4372988.3781804349</v>
      </c>
      <c r="AG19" s="154">
        <f>VLOOKUP(B19,[13]AKSoftSalesReport!$B$2:$C$90,2,0)</f>
        <v>3398782</v>
      </c>
      <c r="AH19" s="7">
        <f t="shared" si="26"/>
        <v>8.0600500894620855E-2</v>
      </c>
      <c r="AI19" s="85">
        <f t="shared" si="27"/>
        <v>3908318.2883801651</v>
      </c>
      <c r="AJ19" s="104">
        <f>VLOOKUP(B19,[14]AKSoftSalesReport!$A:$D,4,0)</f>
        <v>3443248.2085714284</v>
      </c>
      <c r="AK19" s="7">
        <f t="shared" si="28"/>
        <v>8.1654995911877568E-2</v>
      </c>
      <c r="AL19" s="85">
        <f t="shared" si="29"/>
        <v>3959450.7517669434</v>
      </c>
      <c r="AM19" s="6">
        <f t="shared" si="4"/>
        <v>42173008.918571353</v>
      </c>
      <c r="AN19" s="6"/>
      <c r="AO19" s="104">
        <v>42168249.108571351</v>
      </c>
      <c r="AP19" s="87">
        <f t="shared" si="30"/>
        <v>48493486.474857055</v>
      </c>
      <c r="AQ19" s="237">
        <v>0.15</v>
      </c>
      <c r="AR19" s="25">
        <v>48490000</v>
      </c>
      <c r="AS19" s="240">
        <f t="shared" si="31"/>
        <v>48495473.387958467</v>
      </c>
      <c r="AT19" s="31">
        <f t="shared" si="32"/>
        <v>5473.3879584670067</v>
      </c>
      <c r="AU19" s="28">
        <f t="shared" si="5"/>
        <v>-4759.8100000023842</v>
      </c>
      <c r="AZ19" s="28">
        <v>1136803</v>
      </c>
      <c r="BA19" s="28">
        <f t="shared" si="1"/>
        <v>2190510.5599999996</v>
      </c>
      <c r="BB19" s="253">
        <v>1131904.5</v>
      </c>
      <c r="BC19" s="28">
        <v>3327313.5599999996</v>
      </c>
      <c r="BD19" s="28">
        <f>VLOOKUP(B19,[20]AKSoftSalesReport!$A:$B,2,0)</f>
        <v>610265.25000000023</v>
      </c>
      <c r="BE19" s="28">
        <f t="shared" si="2"/>
        <v>2913620.0099999933</v>
      </c>
      <c r="BF19" s="28">
        <f>VLOOKUP(B19,[21]AKSoftSalesReport!$A:$B,2,0)</f>
        <v>585441.04000000027</v>
      </c>
      <c r="BG19" s="28">
        <v>3523885.2599999933</v>
      </c>
      <c r="BH19" s="28">
        <v>585441.04000000027</v>
      </c>
      <c r="BI19" s="28">
        <f t="shared" si="3"/>
        <v>3035888.8099999828</v>
      </c>
      <c r="BJ19" s="28">
        <f>VLOOKUP(B19,[22]AKSoftSalesReport!$A:$B,2,0)</f>
        <v>615025.06000000041</v>
      </c>
      <c r="BK19" s="28">
        <v>3621329.8499999829</v>
      </c>
    </row>
    <row r="20" spans="1:63" x14ac:dyDescent="0.3">
      <c r="A20" s="239">
        <v>17</v>
      </c>
      <c r="B20" s="89" t="s">
        <v>7</v>
      </c>
      <c r="C20" s="70">
        <f>VLOOKUP(B20,[3]AKSoftSalesReport!$B$2:$C$87,2,0)</f>
        <v>1653621.7700000051</v>
      </c>
      <c r="D20" s="7">
        <f t="shared" si="6"/>
        <v>8.3504287593016355E-2</v>
      </c>
      <c r="E20" s="85">
        <f t="shared" si="7"/>
        <v>1984061.8732100686</v>
      </c>
      <c r="F20" s="70">
        <v>1239683.53</v>
      </c>
      <c r="G20" s="7">
        <f t="shared" si="8"/>
        <v>6.2601310584732686E-2</v>
      </c>
      <c r="H20" s="85">
        <f t="shared" si="9"/>
        <v>1487407.1394932487</v>
      </c>
      <c r="I20" s="70">
        <v>858652</v>
      </c>
      <c r="J20" s="7">
        <f t="shared" si="10"/>
        <v>4.3360050557582137E-2</v>
      </c>
      <c r="K20" s="85">
        <f t="shared" si="11"/>
        <v>1030234.8012481516</v>
      </c>
      <c r="L20" s="6">
        <v>1539934.4500000002</v>
      </c>
      <c r="M20" s="7">
        <f t="shared" si="12"/>
        <v>7.7763326245513256E-2</v>
      </c>
      <c r="N20" s="85">
        <f t="shared" si="13"/>
        <v>1847656.631593395</v>
      </c>
      <c r="O20" s="6">
        <v>1794940.5500000003</v>
      </c>
      <c r="P20" s="7">
        <f t="shared" si="14"/>
        <v>9.0640577318697568E-2</v>
      </c>
      <c r="Q20" s="85">
        <f t="shared" si="15"/>
        <v>2153620.1170922541</v>
      </c>
      <c r="R20" s="6">
        <v>1758169.920000002</v>
      </c>
      <c r="S20" s="7">
        <f t="shared" si="16"/>
        <v>8.8783740817025086E-2</v>
      </c>
      <c r="T20" s="85">
        <f t="shared" si="17"/>
        <v>2109501.6818125159</v>
      </c>
      <c r="U20" s="71">
        <f>VLOOKUP(B20,[9]AKSoftSalesReport!$B$2:$C$94,2,0)</f>
        <v>1884518.0000000016</v>
      </c>
      <c r="V20" s="7">
        <f t="shared" si="18"/>
        <v>9.5164042891268688E-2</v>
      </c>
      <c r="W20" s="85">
        <f t="shared" si="19"/>
        <v>2261097.6590965441</v>
      </c>
      <c r="X20" s="71">
        <f>VLOOKUP(B20,[10]AKSoftSalesReport!$B$2:$C$94,2,0)</f>
        <v>1824832.0400000017</v>
      </c>
      <c r="Y20" s="7">
        <f t="shared" si="20"/>
        <v>9.2150032275585242E-2</v>
      </c>
      <c r="Z20" s="85">
        <f t="shared" si="21"/>
        <v>2189484.7668679054</v>
      </c>
      <c r="AA20" s="71">
        <f>VLOOKUP(B20,[11]AKSoftSalesReport!$B$2:$C$94,2,0)</f>
        <v>1713914.7200000002</v>
      </c>
      <c r="AB20" s="7">
        <f t="shared" si="22"/>
        <v>8.6548949877929868E-2</v>
      </c>
      <c r="AC20" s="85">
        <f t="shared" si="23"/>
        <v>2056403.0490996137</v>
      </c>
      <c r="AD20" s="51">
        <f>VLOOKUP(B20,[12]AKSoftSalesReport!$B$2:$C$89,2,0)</f>
        <v>1879591.2400000009</v>
      </c>
      <c r="AE20" s="7">
        <f t="shared" si="24"/>
        <v>9.4915252272152792E-2</v>
      </c>
      <c r="AF20" s="85">
        <f t="shared" si="25"/>
        <v>2255186.3939863504</v>
      </c>
      <c r="AG20" s="154">
        <f>VLOOKUP(B20,[13]AKSoftSalesReport!$B$2:$C$90,2,0)</f>
        <v>1788560</v>
      </c>
      <c r="AH20" s="7">
        <f t="shared" si="26"/>
        <v>9.0318373479906996E-2</v>
      </c>
      <c r="AI20" s="85">
        <f t="shared" si="27"/>
        <v>2145964.55388259</v>
      </c>
      <c r="AJ20" s="104">
        <f>VLOOKUP(B20,[14]AKSoftSalesReport!$A:$D,4,0)</f>
        <v>1865894.4285714284</v>
      </c>
      <c r="AK20" s="7">
        <f t="shared" si="28"/>
        <v>9.4223593211182136E-2</v>
      </c>
      <c r="AL20" s="85">
        <f t="shared" si="29"/>
        <v>2238752.5746976878</v>
      </c>
      <c r="AM20" s="6">
        <f t="shared" si="4"/>
        <v>19802312.648571439</v>
      </c>
      <c r="AN20" s="6"/>
      <c r="AO20" s="104">
        <v>19802836.688571438</v>
      </c>
      <c r="AP20" s="87">
        <f t="shared" si="30"/>
        <v>23763404.026285727</v>
      </c>
      <c r="AQ20" s="237">
        <v>0.2</v>
      </c>
      <c r="AR20" s="25">
        <v>23760000</v>
      </c>
      <c r="AS20" s="240">
        <f t="shared" si="31"/>
        <v>23759371.242080331</v>
      </c>
      <c r="AT20" s="31">
        <f t="shared" si="32"/>
        <v>-628.75791966915131</v>
      </c>
      <c r="AU20" s="28">
        <f t="shared" si="5"/>
        <v>524.03999999910593</v>
      </c>
      <c r="AZ20" s="28">
        <v>324525</v>
      </c>
      <c r="BA20" s="28">
        <f t="shared" si="1"/>
        <v>1215409.4500000002</v>
      </c>
      <c r="BB20" s="253">
        <v>522203.5</v>
      </c>
      <c r="BC20" s="28">
        <v>1539934.4500000002</v>
      </c>
      <c r="BD20" s="28">
        <f>VLOOKUP(B20,[20]AKSoftSalesReport!$A:$B,2,0)</f>
        <v>316290</v>
      </c>
      <c r="BE20" s="28">
        <f t="shared" si="2"/>
        <v>1478650.5500000003</v>
      </c>
      <c r="BF20" s="28">
        <f>VLOOKUP(B20,[21]AKSoftSalesReport!$A:$B,2,0)</f>
        <v>194352.29999999996</v>
      </c>
      <c r="BG20" s="28">
        <v>1794940.5500000003</v>
      </c>
      <c r="BH20" s="28">
        <v>194352.29999999996</v>
      </c>
      <c r="BI20" s="28">
        <f t="shared" si="3"/>
        <v>1563817.620000002</v>
      </c>
      <c r="BJ20" s="28">
        <f>VLOOKUP(B20,[22]AKSoftSalesReport!$A:$B,2,0)</f>
        <v>315765.96000000025</v>
      </c>
      <c r="BK20" s="28">
        <v>1758169.920000002</v>
      </c>
    </row>
    <row r="21" spans="1:63" x14ac:dyDescent="0.3">
      <c r="A21" s="61">
        <v>18</v>
      </c>
      <c r="B21" s="90" t="s">
        <v>140</v>
      </c>
      <c r="C21" s="70">
        <f>VLOOKUP(B21,[3]AKSoftSalesReport!$B$2:$C$87,2,0)</f>
        <v>919472.31000000075</v>
      </c>
      <c r="D21" s="7">
        <f t="shared" si="6"/>
        <v>7.2396601656946585E-2</v>
      </c>
      <c r="E21" s="85">
        <f t="shared" si="7"/>
        <v>1241239.7354083492</v>
      </c>
      <c r="F21" s="70">
        <v>785717.5</v>
      </c>
      <c r="G21" s="7">
        <f t="shared" si="8"/>
        <v>6.1865133124445998E-2</v>
      </c>
      <c r="H21" s="85">
        <f t="shared" si="9"/>
        <v>1060677.7074186266</v>
      </c>
      <c r="I21" s="70">
        <v>732235</v>
      </c>
      <c r="J21" s="7">
        <f t="shared" si="10"/>
        <v>5.7654075101265675E-2</v>
      </c>
      <c r="K21" s="85">
        <f t="shared" si="11"/>
        <v>988479.11761119997</v>
      </c>
      <c r="L21" s="6">
        <v>1054881.5</v>
      </c>
      <c r="M21" s="7">
        <f t="shared" si="12"/>
        <v>8.3058331306118643E-2</v>
      </c>
      <c r="N21" s="85">
        <f t="shared" si="13"/>
        <v>1424035.090243404</v>
      </c>
      <c r="O21" s="6">
        <v>1050113.2500000005</v>
      </c>
      <c r="P21" s="7">
        <f t="shared" si="14"/>
        <v>8.2682893033430807E-2</v>
      </c>
      <c r="Q21" s="85">
        <f t="shared" si="15"/>
        <v>1417598.2010581712</v>
      </c>
      <c r="R21" s="6">
        <v>1056183.320000004</v>
      </c>
      <c r="S21" s="7">
        <f t="shared" si="16"/>
        <v>8.3160832863745038E-2</v>
      </c>
      <c r="T21" s="85">
        <f t="shared" si="17"/>
        <v>1425792.4794489087</v>
      </c>
      <c r="U21" s="71">
        <f>VLOOKUP(B21,[9]AKSoftSalesReport!$B$2:$C$94,2,0)</f>
        <v>1148016</v>
      </c>
      <c r="V21" s="7">
        <f t="shared" si="18"/>
        <v>9.0391473613600296E-2</v>
      </c>
      <c r="W21" s="85">
        <f t="shared" si="19"/>
        <v>1549761.815105177</v>
      </c>
      <c r="X21" s="71">
        <f>VLOOKUP(B21,[10]AKSoftSalesReport!$B$2:$C$94,2,0)</f>
        <v>1179276.9500000007</v>
      </c>
      <c r="Y21" s="7">
        <f t="shared" si="20"/>
        <v>9.2852870786689468E-2</v>
      </c>
      <c r="Z21" s="85">
        <f t="shared" si="21"/>
        <v>1591962.4696377909</v>
      </c>
      <c r="AA21" s="71">
        <f>VLOOKUP(B21,[11]AKSoftSalesReport!$B$2:$C$94,2,0)</f>
        <v>1089417.02</v>
      </c>
      <c r="AB21" s="7">
        <f t="shared" si="22"/>
        <v>8.5777558690416394E-2</v>
      </c>
      <c r="AC21" s="85">
        <f t="shared" si="23"/>
        <v>1470656.2437471892</v>
      </c>
      <c r="AD21" s="51">
        <f>VLOOKUP(B21,[12]AKSoftSalesReport!$B$2:$C$89,2,0)</f>
        <v>1260534.1100000017</v>
      </c>
      <c r="AE21" s="7">
        <f t="shared" si="24"/>
        <v>9.9250825548692953E-2</v>
      </c>
      <c r="AF21" s="85">
        <f t="shared" si="25"/>
        <v>1701655.4040323407</v>
      </c>
      <c r="AG21" s="154">
        <f>VLOOKUP(B21,[13]AKSoftSalesReport!$B$2:$C$90,2,0)</f>
        <v>1216829</v>
      </c>
      <c r="AH21" s="7">
        <f t="shared" si="26"/>
        <v>9.5809611055737584E-2</v>
      </c>
      <c r="AI21" s="85">
        <f t="shared" si="27"/>
        <v>1642655.7815506209</v>
      </c>
      <c r="AJ21" s="104">
        <f>VLOOKUP(B21,[14]AKSoftSalesReport!$A:$D,4,0)</f>
        <v>1209276.7857142857</v>
      </c>
      <c r="AK21" s="7">
        <f t="shared" si="28"/>
        <v>9.5214971452864977E-2</v>
      </c>
      <c r="AL21" s="85">
        <f t="shared" si="29"/>
        <v>1632460.6855593701</v>
      </c>
      <c r="AM21" s="6">
        <f t="shared" si="4"/>
        <v>12701952.745714292</v>
      </c>
      <c r="AN21" s="155"/>
      <c r="AO21" s="73">
        <v>12700489.925714293</v>
      </c>
      <c r="AP21" s="87">
        <f t="shared" si="30"/>
        <v>17145661.399714295</v>
      </c>
      <c r="AQ21" s="237">
        <v>0.35</v>
      </c>
      <c r="AR21" s="1">
        <v>17145000</v>
      </c>
      <c r="AS21" s="240">
        <f t="shared" si="31"/>
        <v>17146974.730821151</v>
      </c>
      <c r="AT21" s="31">
        <f t="shared" si="32"/>
        <v>1974.7308211512864</v>
      </c>
      <c r="AU21" s="28">
        <f t="shared" si="5"/>
        <v>-1462.8199999984354</v>
      </c>
      <c r="AZ21" s="28">
        <v>294875</v>
      </c>
      <c r="BA21" s="28">
        <f t="shared" si="1"/>
        <v>760006.5</v>
      </c>
      <c r="BB21" s="253">
        <v>339285.5</v>
      </c>
      <c r="BC21" s="28">
        <v>1054881.5</v>
      </c>
      <c r="BD21" s="28">
        <f>VLOOKUP(B21,[20]AKSoftSalesReport!$A:$B,2,0)</f>
        <v>182982.7</v>
      </c>
      <c r="BE21" s="28">
        <f t="shared" si="2"/>
        <v>867130.55000000051</v>
      </c>
      <c r="BF21" s="28">
        <f>VLOOKUP(B21,[21]AKSoftSalesReport!$A:$B,2,0)</f>
        <v>137608.59999999992</v>
      </c>
      <c r="BG21" s="28">
        <v>1050113.2500000005</v>
      </c>
      <c r="BH21" s="28">
        <v>137608.59999999992</v>
      </c>
      <c r="BI21" s="28">
        <f t="shared" si="3"/>
        <v>918574.72000000416</v>
      </c>
      <c r="BJ21" s="28">
        <f>VLOOKUP(B21,[22]AKSoftSalesReport!$A:$B,2,0)</f>
        <v>184445.52000000014</v>
      </c>
      <c r="BK21" s="28">
        <v>1056183.320000004</v>
      </c>
    </row>
    <row r="22" spans="1:63" x14ac:dyDescent="0.3">
      <c r="A22" s="239">
        <v>19</v>
      </c>
      <c r="B22" s="89" t="s">
        <v>141</v>
      </c>
      <c r="C22" s="70">
        <f>VLOOKUP(B22,[3]AKSoftSalesReport!$B$2:$C$87,2,0)</f>
        <v>1519333.1300000015</v>
      </c>
      <c r="D22" s="7">
        <f t="shared" si="6"/>
        <v>8.7795557374070604E-2</v>
      </c>
      <c r="E22" s="85">
        <f t="shared" si="7"/>
        <v>2050904.2202582892</v>
      </c>
      <c r="F22" s="70">
        <v>1139107.6200000006</v>
      </c>
      <c r="G22" s="7">
        <f t="shared" si="8"/>
        <v>6.5824002934070799E-2</v>
      </c>
      <c r="H22" s="85">
        <f t="shared" si="9"/>
        <v>1537648.7085398939</v>
      </c>
      <c r="I22" s="70">
        <v>991322</v>
      </c>
      <c r="J22" s="7">
        <f t="shared" si="10"/>
        <v>5.7284124073025598E-2</v>
      </c>
      <c r="K22" s="85">
        <f t="shared" si="11"/>
        <v>1338157.1383458779</v>
      </c>
      <c r="L22" s="6">
        <v>1355311.7000000002</v>
      </c>
      <c r="M22" s="7">
        <f t="shared" si="12"/>
        <v>7.8317482695252655E-2</v>
      </c>
      <c r="N22" s="85">
        <f t="shared" si="13"/>
        <v>1829496.395761102</v>
      </c>
      <c r="O22" s="6">
        <v>1603023.0700000008</v>
      </c>
      <c r="P22" s="7">
        <f t="shared" si="14"/>
        <v>9.2631629716482075E-2</v>
      </c>
      <c r="Q22" s="85">
        <f t="shared" si="15"/>
        <v>2163874.8701770213</v>
      </c>
      <c r="R22" s="6">
        <v>1469031.3900000015</v>
      </c>
      <c r="S22" s="7">
        <f t="shared" si="16"/>
        <v>8.4888841780904029E-2</v>
      </c>
      <c r="T22" s="85">
        <f t="shared" si="17"/>
        <v>1983003.3440019181</v>
      </c>
      <c r="U22" s="71">
        <f>VLOOKUP(B22,[9]AKSoftSalesReport!$B$2:$C$94,2,0)</f>
        <v>1490991.2100000004</v>
      </c>
      <c r="V22" s="7">
        <f t="shared" si="18"/>
        <v>8.6157802878812931E-2</v>
      </c>
      <c r="W22" s="85">
        <f t="shared" si="19"/>
        <v>2012646.27524907</v>
      </c>
      <c r="X22" s="71">
        <f>VLOOKUP(B22,[10]AKSoftSalesReport!$B$2:$C$94,2,0)</f>
        <v>1491827.1000000008</v>
      </c>
      <c r="Y22" s="7">
        <f t="shared" si="20"/>
        <v>8.6206105273465145E-2</v>
      </c>
      <c r="Z22" s="85">
        <f t="shared" si="21"/>
        <v>2013774.6191881457</v>
      </c>
      <c r="AA22" s="71">
        <f>VLOOKUP(B22,[11]AKSoftSalesReport!$B$2:$C$94,2,0)</f>
        <v>1588161</v>
      </c>
      <c r="AB22" s="7">
        <f t="shared" si="22"/>
        <v>9.1772816271544877E-2</v>
      </c>
      <c r="AC22" s="85">
        <f t="shared" si="23"/>
        <v>2143812.9881032882</v>
      </c>
      <c r="AD22" s="51">
        <f>VLOOKUP(B22,[12]AKSoftSalesReport!$B$2:$C$89,2,0)</f>
        <v>1646064</v>
      </c>
      <c r="AE22" s="7">
        <f t="shared" si="24"/>
        <v>9.511877513879527E-2</v>
      </c>
      <c r="AF22" s="85">
        <f t="shared" si="25"/>
        <v>2221974.5872422573</v>
      </c>
      <c r="AG22" s="154">
        <f>VLOOKUP(B22,[13]AKSoftSalesReport!$B$2:$C$90,2,0)</f>
        <v>1455397</v>
      </c>
      <c r="AH22" s="7">
        <f t="shared" si="26"/>
        <v>8.4100970545906609E-2</v>
      </c>
      <c r="AI22" s="85">
        <f t="shared" si="27"/>
        <v>1964598.6719523785</v>
      </c>
      <c r="AJ22" s="104">
        <f>VLOOKUP(B22,[14]AKSoftSalesReport!$A:$D,4,0)</f>
        <v>1495911.6428571427</v>
      </c>
      <c r="AK22" s="7">
        <f t="shared" si="28"/>
        <v>8.6442132981727551E-2</v>
      </c>
      <c r="AL22" s="85">
        <f t="shared" si="29"/>
        <v>2019288.2264531555</v>
      </c>
      <c r="AM22" s="6">
        <f t="shared" si="4"/>
        <v>17245480.862857148</v>
      </c>
      <c r="AN22" s="155"/>
      <c r="AO22" s="73">
        <v>17305353.202857152</v>
      </c>
      <c r="AP22" s="87">
        <f t="shared" si="30"/>
        <v>23362226.823857155</v>
      </c>
      <c r="AQ22" s="237">
        <v>0.35</v>
      </c>
      <c r="AR22" s="3">
        <v>23360000</v>
      </c>
      <c r="AS22" s="240">
        <f t="shared" si="31"/>
        <v>23279180.045272399</v>
      </c>
      <c r="AT22" s="31">
        <f t="shared" si="32"/>
        <v>-80819.95472760126</v>
      </c>
      <c r="AU22" s="28">
        <f t="shared" si="5"/>
        <v>59872.340000003576</v>
      </c>
      <c r="AZ22" s="28">
        <v>395643</v>
      </c>
      <c r="BA22" s="28">
        <f t="shared" si="1"/>
        <v>959668.70000000019</v>
      </c>
      <c r="BB22" s="253">
        <v>472462</v>
      </c>
      <c r="BC22" s="28">
        <v>1355311.7000000002</v>
      </c>
      <c r="BD22" s="28">
        <f>VLOOKUP(B22,[20]AKSoftSalesReport!$A:$B,2,0)</f>
        <v>300642.28000000003</v>
      </c>
      <c r="BE22" s="28">
        <f t="shared" si="2"/>
        <v>1302380.7900000007</v>
      </c>
      <c r="BF22" s="28">
        <f>VLOOKUP(B22,[21]AKSoftSalesReport!$A:$B,2,0)</f>
        <v>205922.5</v>
      </c>
      <c r="BG22" s="28">
        <v>1603023.0700000008</v>
      </c>
      <c r="BH22" s="28">
        <v>205922.5</v>
      </c>
      <c r="BI22" s="28">
        <f t="shared" si="3"/>
        <v>1263108.8900000015</v>
      </c>
      <c r="BJ22" s="28">
        <f>VLOOKUP(B22,[22]AKSoftSalesReport!$A:$B,2,0)</f>
        <v>240769.94000000006</v>
      </c>
      <c r="BK22" s="28">
        <v>1469031.3900000015</v>
      </c>
    </row>
    <row r="23" spans="1:63" x14ac:dyDescent="0.3">
      <c r="A23" s="61">
        <v>20</v>
      </c>
      <c r="B23" s="90" t="s">
        <v>150</v>
      </c>
      <c r="C23" s="70">
        <f>VLOOKUP(B23,[3]AKSoftSalesReport!$B$2:$C$87,2,0)</f>
        <v>2002085.2400000053</v>
      </c>
      <c r="D23" s="7">
        <f t="shared" si="6"/>
        <v>7.0250012773595785E-2</v>
      </c>
      <c r="E23" s="85">
        <f t="shared" si="7"/>
        <v>2702869.241464098</v>
      </c>
      <c r="F23" s="70">
        <v>1574419.5</v>
      </c>
      <c r="G23" s="7">
        <f t="shared" si="8"/>
        <v>5.5243896601524317E-2</v>
      </c>
      <c r="H23" s="85">
        <f t="shared" si="9"/>
        <v>2125508.9217436481</v>
      </c>
      <c r="I23" s="70">
        <v>1501547</v>
      </c>
      <c r="J23" s="7">
        <f t="shared" si="10"/>
        <v>5.2686915533203843E-2</v>
      </c>
      <c r="K23" s="85">
        <f t="shared" si="11"/>
        <v>2027129.0751400178</v>
      </c>
      <c r="L23" s="6">
        <v>2166495.7800000003</v>
      </c>
      <c r="M23" s="7">
        <f t="shared" si="12"/>
        <v>7.6018919263867585E-2</v>
      </c>
      <c r="N23" s="85">
        <f t="shared" si="13"/>
        <v>2924827.9186773053</v>
      </c>
      <c r="O23" s="6">
        <v>2484310.8399999933</v>
      </c>
      <c r="P23" s="7">
        <f t="shared" si="14"/>
        <v>8.7170548364654807E-2</v>
      </c>
      <c r="Q23" s="85">
        <f t="shared" si="15"/>
        <v>3353886.8483300935</v>
      </c>
      <c r="R23" s="6">
        <v>2351184.2500000037</v>
      </c>
      <c r="S23" s="7">
        <f t="shared" si="16"/>
        <v>8.2499346329318643E-2</v>
      </c>
      <c r="T23" s="85">
        <f t="shared" si="17"/>
        <v>3174162.3500205348</v>
      </c>
      <c r="U23" s="71">
        <f>VLOOKUP(B23,[9]AKSoftSalesReport!$B$2:$C$94,2,0)</f>
        <v>2790987.0799999996</v>
      </c>
      <c r="V23" s="7">
        <f t="shared" si="18"/>
        <v>9.793133384317855E-2</v>
      </c>
      <c r="W23" s="85">
        <f t="shared" si="19"/>
        <v>3767908.0696162949</v>
      </c>
      <c r="X23" s="71">
        <f>VLOOKUP(B23,[10]AKSoftSalesReport!$B$2:$C$94,2,0)</f>
        <v>2881255.0199999968</v>
      </c>
      <c r="Y23" s="7">
        <f t="shared" si="20"/>
        <v>0.10109869345971813</v>
      </c>
      <c r="Z23" s="85">
        <f t="shared" si="21"/>
        <v>3889772.2308626547</v>
      </c>
      <c r="AA23" s="71">
        <f>VLOOKUP(B23,[11]AKSoftSalesReport!$B$2:$C$94,2,0)</f>
        <v>2786064.6699999943</v>
      </c>
      <c r="AB23" s="7">
        <f t="shared" si="22"/>
        <v>9.7758614241401129E-2</v>
      </c>
      <c r="AC23" s="85">
        <f t="shared" si="23"/>
        <v>3761262.6829379085</v>
      </c>
      <c r="AD23" s="51">
        <f>VLOOKUP(B23,[12]AKSoftSalesReport!$B$2:$C$89,2,0)</f>
        <v>2677867.8100000005</v>
      </c>
      <c r="AE23" s="7">
        <f t="shared" si="24"/>
        <v>9.3962157105009422E-2</v>
      </c>
      <c r="AF23" s="85">
        <f t="shared" si="25"/>
        <v>3615193.9946152377</v>
      </c>
      <c r="AG23" s="154">
        <f>VLOOKUP(B23,[13]AKSoftSalesReport!$B$2:$C$90,2,0)</f>
        <v>2471914</v>
      </c>
      <c r="AH23" s="7">
        <f t="shared" si="26"/>
        <v>8.6735562805123012E-2</v>
      </c>
      <c r="AI23" s="85">
        <f t="shared" si="27"/>
        <v>3337150.7789271078</v>
      </c>
      <c r="AJ23" s="104">
        <f>VLOOKUP(B23,[14]AKSoftSalesReport!$A:$D,4,0)</f>
        <v>2794271.9992857161</v>
      </c>
      <c r="AK23" s="7">
        <f t="shared" si="28"/>
        <v>9.8046596478940151E-2</v>
      </c>
      <c r="AL23" s="85">
        <f t="shared" si="29"/>
        <v>3772342.7995272223</v>
      </c>
      <c r="AM23" s="6">
        <f t="shared" si="4"/>
        <v>28482403.18928571</v>
      </c>
      <c r="AN23" s="155"/>
      <c r="AO23" s="73">
        <v>28499428.839285713</v>
      </c>
      <c r="AP23" s="87">
        <f t="shared" si="30"/>
        <v>38474228.933035709</v>
      </c>
      <c r="AQ23" s="237">
        <v>0.35</v>
      </c>
      <c r="AR23" s="3">
        <v>38475000</v>
      </c>
      <c r="AS23" s="240">
        <f t="shared" si="31"/>
        <v>38452014.91186212</v>
      </c>
      <c r="AT23" s="31">
        <f t="shared" si="32"/>
        <v>-22985.088137879968</v>
      </c>
      <c r="AU23" s="28">
        <f t="shared" si="5"/>
        <v>17025.650000002235</v>
      </c>
      <c r="AZ23" s="28">
        <v>583383</v>
      </c>
      <c r="BA23" s="28">
        <f t="shared" si="1"/>
        <v>1583112.7800000003</v>
      </c>
      <c r="BB23" s="253">
        <v>749560.5</v>
      </c>
      <c r="BC23" s="28">
        <v>2166495.7800000003</v>
      </c>
      <c r="BD23" s="28">
        <f>VLOOKUP(B23,[20]AKSoftSalesReport!$A:$B,2,0)</f>
        <v>405585.97000000032</v>
      </c>
      <c r="BE23" s="28">
        <f t="shared" si="2"/>
        <v>2078724.8699999931</v>
      </c>
      <c r="BF23" s="28">
        <f>VLOOKUP(B23,[21]AKSoftSalesReport!$A:$B,2,0)</f>
        <v>401742.58000000066</v>
      </c>
      <c r="BG23" s="28">
        <v>2484310.8399999933</v>
      </c>
      <c r="BH23" s="28">
        <v>401742.58000000066</v>
      </c>
      <c r="BI23" s="28">
        <f t="shared" si="3"/>
        <v>1949441.6700000032</v>
      </c>
      <c r="BJ23" s="28">
        <f>VLOOKUP(B23,[22]AKSoftSalesReport!$A:$B,2,0)</f>
        <v>388560.32000000065</v>
      </c>
      <c r="BK23" s="28">
        <v>2351184.2500000037</v>
      </c>
    </row>
    <row r="24" spans="1:63" x14ac:dyDescent="0.3">
      <c r="A24" s="239">
        <v>21</v>
      </c>
      <c r="B24" s="89" t="s">
        <v>151</v>
      </c>
      <c r="C24" s="70">
        <f>VLOOKUP(B24,[3]AKSoftSalesReport!$B$2:$C$87,2,0)</f>
        <v>2389420.1099999947</v>
      </c>
      <c r="D24" s="7">
        <f t="shared" si="6"/>
        <v>6.4191034786707457E-2</v>
      </c>
      <c r="E24" s="85">
        <f t="shared" si="7"/>
        <v>3225599.4980320497</v>
      </c>
      <c r="F24" s="70">
        <v>2058051.02</v>
      </c>
      <c r="G24" s="7">
        <f t="shared" si="8"/>
        <v>5.5288906318629365E-2</v>
      </c>
      <c r="H24" s="85">
        <f t="shared" si="9"/>
        <v>2778267.5425111256</v>
      </c>
      <c r="I24" s="70">
        <v>2114675.5</v>
      </c>
      <c r="J24" s="7">
        <f t="shared" si="10"/>
        <v>5.6810105520999528E-2</v>
      </c>
      <c r="K24" s="85">
        <f t="shared" si="11"/>
        <v>2854707.8024302265</v>
      </c>
      <c r="L24" s="6">
        <v>2630698.6599999992</v>
      </c>
      <c r="M24" s="7">
        <f t="shared" si="12"/>
        <v>7.0672908665443943E-2</v>
      </c>
      <c r="N24" s="85">
        <f t="shared" si="13"/>
        <v>3551313.6604385581</v>
      </c>
      <c r="O24" s="6">
        <v>3142484.7999999905</v>
      </c>
      <c r="P24" s="7">
        <f t="shared" si="14"/>
        <v>8.4421885573524896E-2</v>
      </c>
      <c r="Q24" s="85">
        <f t="shared" si="15"/>
        <v>4242199.7500696257</v>
      </c>
      <c r="R24" s="6">
        <v>3308926.9099999885</v>
      </c>
      <c r="S24" s="7">
        <f t="shared" si="16"/>
        <v>8.8893301557791848E-2</v>
      </c>
      <c r="T24" s="85">
        <f t="shared" si="17"/>
        <v>4466888.40327904</v>
      </c>
      <c r="U24" s="71">
        <f>VLOOKUP(B24,[9]AKSoftSalesReport!$B$2:$C$94,2,0)</f>
        <v>3598842.3499999982</v>
      </c>
      <c r="V24" s="7">
        <f t="shared" si="18"/>
        <v>9.6681790495488223E-2</v>
      </c>
      <c r="W24" s="85">
        <f t="shared" si="19"/>
        <v>4858259.972398283</v>
      </c>
      <c r="X24" s="71">
        <v>3666037.5599999898</v>
      </c>
      <c r="Y24" s="7">
        <f t="shared" si="20"/>
        <v>9.8486969101191674E-2</v>
      </c>
      <c r="Z24" s="85">
        <f t="shared" si="21"/>
        <v>4948970.1973348819</v>
      </c>
      <c r="AA24" s="71">
        <v>3561620.47</v>
      </c>
      <c r="AB24" s="7">
        <f t="shared" si="22"/>
        <v>9.5681836161837563E-2</v>
      </c>
      <c r="AC24" s="85">
        <f t="shared" si="23"/>
        <v>4808012.2671323372</v>
      </c>
      <c r="AD24" s="51">
        <v>3820209.3799999799</v>
      </c>
      <c r="AE24" s="7">
        <f t="shared" si="24"/>
        <v>0.10262874752656426</v>
      </c>
      <c r="AF24" s="85">
        <f t="shared" si="25"/>
        <v>5157094.5632098541</v>
      </c>
      <c r="AG24" s="154">
        <v>3541983.01</v>
      </c>
      <c r="AH24" s="7">
        <f t="shared" si="26"/>
        <v>9.5154281851606778E-2</v>
      </c>
      <c r="AI24" s="85">
        <f t="shared" si="27"/>
        <v>4781502.663043241</v>
      </c>
      <c r="AJ24" s="104">
        <v>3421963.9850000003</v>
      </c>
      <c r="AK24" s="7">
        <f t="shared" si="28"/>
        <v>9.1930007737314801E-2</v>
      </c>
      <c r="AL24" s="85">
        <f t="shared" si="29"/>
        <v>4619482.8888000688</v>
      </c>
      <c r="AM24" s="6">
        <f t="shared" si="4"/>
        <v>37254913.754999943</v>
      </c>
      <c r="AN24" s="155"/>
      <c r="AO24" s="73">
        <v>37223579.864999942</v>
      </c>
      <c r="AP24" s="87">
        <f t="shared" si="30"/>
        <v>50251832.817749918</v>
      </c>
      <c r="AQ24" s="237">
        <v>0.35</v>
      </c>
      <c r="AR24" s="3">
        <v>50250000</v>
      </c>
      <c r="AS24" s="240">
        <f t="shared" si="31"/>
        <v>50292299.208679289</v>
      </c>
      <c r="AT24" s="31">
        <f t="shared" si="32"/>
        <v>42299.208679288626</v>
      </c>
      <c r="AU24" s="28">
        <f t="shared" si="5"/>
        <v>-31333.890000000596</v>
      </c>
      <c r="AZ24" s="28">
        <v>798163.5</v>
      </c>
      <c r="BA24" s="28">
        <f t="shared" si="1"/>
        <v>1832535.1599999992</v>
      </c>
      <c r="BB24" s="253">
        <v>781967</v>
      </c>
      <c r="BC24" s="28">
        <v>2630698.6599999992</v>
      </c>
      <c r="BD24" s="28">
        <v>541101.24000000011</v>
      </c>
      <c r="BE24" s="28">
        <f t="shared" si="2"/>
        <v>2601383.5599999903</v>
      </c>
      <c r="BF24" s="28">
        <v>519222.17000000016</v>
      </c>
      <c r="BG24" s="28">
        <v>3142484.7999999905</v>
      </c>
      <c r="BH24" s="28">
        <v>519222.17000000016</v>
      </c>
      <c r="BI24" s="28">
        <f t="shared" si="3"/>
        <v>2789704.7399999881</v>
      </c>
      <c r="BJ24" s="28">
        <v>572435.13000000035</v>
      </c>
      <c r="BK24" s="28">
        <v>3308926.9099999885</v>
      </c>
    </row>
    <row r="25" spans="1:63" x14ac:dyDescent="0.3">
      <c r="A25" s="61">
        <v>22</v>
      </c>
      <c r="B25" s="106" t="s">
        <v>230</v>
      </c>
      <c r="C25" s="70">
        <v>0</v>
      </c>
      <c r="D25" s="7">
        <f t="shared" si="6"/>
        <v>0</v>
      </c>
      <c r="E25" s="85">
        <f t="shared" si="7"/>
        <v>0</v>
      </c>
      <c r="F25" s="70">
        <v>0</v>
      </c>
      <c r="G25" s="7">
        <f t="shared" si="8"/>
        <v>0</v>
      </c>
      <c r="H25" s="85">
        <f t="shared" si="9"/>
        <v>0</v>
      </c>
      <c r="I25" s="70">
        <v>0</v>
      </c>
      <c r="J25" s="7">
        <f t="shared" si="10"/>
        <v>0</v>
      </c>
      <c r="K25" s="85">
        <f t="shared" si="11"/>
        <v>0</v>
      </c>
      <c r="L25" s="6">
        <v>0</v>
      </c>
      <c r="M25" s="7">
        <f t="shared" si="12"/>
        <v>0</v>
      </c>
      <c r="N25" s="85">
        <f t="shared" si="13"/>
        <v>0</v>
      </c>
      <c r="O25" s="6">
        <v>135160</v>
      </c>
      <c r="P25" s="7">
        <f t="shared" si="14"/>
        <v>1.1357983193277311E-2</v>
      </c>
      <c r="Q25" s="85">
        <f t="shared" si="15"/>
        <v>182466</v>
      </c>
      <c r="R25" s="6">
        <v>857912.5</v>
      </c>
      <c r="S25" s="7">
        <f t="shared" si="16"/>
        <v>7.2093487394957981E-2</v>
      </c>
      <c r="T25" s="85">
        <f t="shared" si="17"/>
        <v>1158181.875</v>
      </c>
      <c r="U25" s="71">
        <f>VLOOKUP(B25,[9]AKSoftSalesReport!$B$2:$C$94,2,0)</f>
        <v>893702.5</v>
      </c>
      <c r="V25" s="7">
        <f t="shared" si="18"/>
        <v>7.510105042016807E-2</v>
      </c>
      <c r="W25" s="85">
        <f t="shared" si="19"/>
        <v>1206498.375</v>
      </c>
      <c r="X25" s="71">
        <f>VLOOKUP(B25,[10]AKSoftSalesReport!$B$2:$C$94,2,0)</f>
        <v>957750.06</v>
      </c>
      <c r="Y25" s="7">
        <f t="shared" si="20"/>
        <v>8.0483198319327737E-2</v>
      </c>
      <c r="Z25" s="85">
        <f t="shared" si="21"/>
        <v>1292962.581</v>
      </c>
      <c r="AA25" s="71">
        <f>VLOOKUP(B25,[11]AKSoftSalesReport!$B$2:$C$94,2,0)</f>
        <v>1063491.03</v>
      </c>
      <c r="AB25" s="7">
        <f t="shared" si="22"/>
        <v>8.9368994117647066E-2</v>
      </c>
      <c r="AC25" s="85">
        <f t="shared" si="23"/>
        <v>1435712.8905000002</v>
      </c>
      <c r="AD25" s="51">
        <f>VLOOKUP(B25,[12]AKSoftSalesReport!$B$2:$C$89,2,0)</f>
        <v>1191090.0900000001</v>
      </c>
      <c r="AE25" s="7">
        <f t="shared" si="24"/>
        <v>0.10009160420168067</v>
      </c>
      <c r="AF25" s="85">
        <f t="shared" si="25"/>
        <v>1607971.6215000001</v>
      </c>
      <c r="AG25" s="154">
        <f>VLOOKUP(B25,[13]AKSoftSalesReport!$B$2:$C$90,2,0)</f>
        <v>1133942</v>
      </c>
      <c r="AH25" s="7">
        <f t="shared" si="26"/>
        <v>9.5289243697478987E-2</v>
      </c>
      <c r="AI25" s="85">
        <f t="shared" si="27"/>
        <v>1530821.7</v>
      </c>
      <c r="AJ25" s="104">
        <f>VLOOKUP(B25,[14]AKSoftSalesReport!$A:$D,4,0)</f>
        <v>1160241.472857143</v>
      </c>
      <c r="AK25" s="7">
        <f t="shared" si="28"/>
        <v>9.7499283433373357E-2</v>
      </c>
      <c r="AL25" s="85">
        <f t="shared" si="29"/>
        <v>1566325.988357143</v>
      </c>
      <c r="AM25" s="6">
        <f t="shared" si="4"/>
        <v>7393289.6528571434</v>
      </c>
      <c r="AN25" s="155">
        <f>AM25/220</f>
        <v>33605.862058441562</v>
      </c>
      <c r="AO25" s="224">
        <v>11900000</v>
      </c>
      <c r="AP25" s="87">
        <f t="shared" si="30"/>
        <v>16065000</v>
      </c>
      <c r="AQ25" s="237">
        <v>0.35</v>
      </c>
      <c r="AR25" s="3">
        <v>16065000</v>
      </c>
      <c r="AS25" s="240">
        <f t="shared" si="31"/>
        <v>9980941.0313571431</v>
      </c>
      <c r="AT25" s="31">
        <f t="shared" si="32"/>
        <v>-6084058.9686428569</v>
      </c>
      <c r="AU25" s="28">
        <f t="shared" si="5"/>
        <v>4506710.3471428566</v>
      </c>
      <c r="AZ25" s="28">
        <v>0</v>
      </c>
      <c r="BA25" s="28">
        <f t="shared" si="1"/>
        <v>0</v>
      </c>
      <c r="BB25" s="253">
        <v>0</v>
      </c>
      <c r="BC25" s="28">
        <v>0</v>
      </c>
      <c r="BD25" s="28">
        <f>VLOOKUP(B25,[20]AKSoftSalesReport!$A:$B,2,0)</f>
        <v>76972</v>
      </c>
      <c r="BE25" s="28">
        <f t="shared" si="2"/>
        <v>58188</v>
      </c>
      <c r="BF25" s="28">
        <f>VLOOKUP(B25,[21]AKSoftSalesReport!$A:$B,2,0)</f>
        <v>133904</v>
      </c>
      <c r="BG25" s="28">
        <v>135160</v>
      </c>
      <c r="BH25" s="28">
        <v>133904</v>
      </c>
      <c r="BI25" s="28">
        <f t="shared" si="3"/>
        <v>724008.5</v>
      </c>
      <c r="BJ25" s="28">
        <f>VLOOKUP(B25,[22]AKSoftSalesReport!$A:$B,2,0)</f>
        <v>145806.5</v>
      </c>
      <c r="BK25" s="28">
        <v>857912.5</v>
      </c>
    </row>
    <row r="26" spans="1:63" ht="15.75" customHeight="1" x14ac:dyDescent="0.3">
      <c r="A26" s="239">
        <v>23</v>
      </c>
      <c r="B26" s="89" t="s">
        <v>79</v>
      </c>
      <c r="C26" s="70">
        <f>VLOOKUP(B26,[3]AKSoftSalesReport!$B$2:$C$87,2,0)</f>
        <v>1468704.730000003</v>
      </c>
      <c r="D26" s="7">
        <f t="shared" si="6"/>
        <v>7.6144606254405944E-2</v>
      </c>
      <c r="E26" s="85">
        <f t="shared" si="7"/>
        <v>1909326.0018292291</v>
      </c>
      <c r="F26" s="70">
        <v>1216460.52</v>
      </c>
      <c r="G26" s="7">
        <f t="shared" si="8"/>
        <v>6.3067072249048811E-2</v>
      </c>
      <c r="H26" s="85">
        <f t="shared" si="9"/>
        <v>1581406.8366448989</v>
      </c>
      <c r="I26" s="70">
        <v>984750</v>
      </c>
      <c r="J26" s="7">
        <f t="shared" si="10"/>
        <v>5.1054101942618585E-2</v>
      </c>
      <c r="K26" s="85">
        <f t="shared" si="11"/>
        <v>1280181.606211161</v>
      </c>
      <c r="L26" s="6">
        <v>1480008.58</v>
      </c>
      <c r="M26" s="7">
        <f t="shared" si="12"/>
        <v>7.673065135239418E-2</v>
      </c>
      <c r="N26" s="85">
        <f t="shared" si="13"/>
        <v>1924021.0826612841</v>
      </c>
      <c r="O26" s="6">
        <v>1724003.6400000011</v>
      </c>
      <c r="P26" s="7">
        <f t="shared" si="14"/>
        <v>8.9380510369134872E-2</v>
      </c>
      <c r="Q26" s="85">
        <f t="shared" si="15"/>
        <v>2241216.2975060567</v>
      </c>
      <c r="R26" s="6">
        <v>1714839.7900000033</v>
      </c>
      <c r="S26" s="7">
        <f t="shared" si="16"/>
        <v>8.8905413002202394E-2</v>
      </c>
      <c r="T26" s="85">
        <f t="shared" si="17"/>
        <v>2229303.2310302248</v>
      </c>
      <c r="U26" s="71">
        <f>VLOOKUP(B26,[9]AKSoftSalesReport!$B$2:$C$94,2,0)</f>
        <v>1877375.5100000016</v>
      </c>
      <c r="V26" s="7">
        <f t="shared" si="18"/>
        <v>9.7332034193567549E-2</v>
      </c>
      <c r="W26" s="85">
        <f t="shared" si="19"/>
        <v>2440600.7574037062</v>
      </c>
      <c r="X26" s="71">
        <f>VLOOKUP(B26,[10]AKSoftSalesReport!$B$2:$C$94,2,0)</f>
        <v>1870355.300000001</v>
      </c>
      <c r="Y26" s="7">
        <f t="shared" si="20"/>
        <v>9.6968073272522992E-2</v>
      </c>
      <c r="Z26" s="85">
        <f t="shared" si="21"/>
        <v>2431474.437308514</v>
      </c>
      <c r="AA26" s="71">
        <f>VLOOKUP(B26,[11]AKSoftSalesReport!$B$2:$C$94,2,0)</f>
        <v>1788723.8600000006</v>
      </c>
      <c r="AB26" s="7">
        <f t="shared" si="22"/>
        <v>9.2735912968402376E-2</v>
      </c>
      <c r="AC26" s="85">
        <f t="shared" si="23"/>
        <v>2325353.0176826897</v>
      </c>
      <c r="AD26" s="51">
        <f>VLOOKUP(B26,[12]AKSoftSalesReport!$B$2:$C$89,2,0)</f>
        <v>1876568.3400000008</v>
      </c>
      <c r="AE26" s="7">
        <f t="shared" si="24"/>
        <v>9.7290186679513141E-2</v>
      </c>
      <c r="AF26" s="85">
        <f t="shared" si="25"/>
        <v>2439551.4309887919</v>
      </c>
      <c r="AG26" s="154">
        <f>VLOOKUP(B26,[13]AKSoftSalesReport!$B$2:$C$90,2,0)</f>
        <v>1731710</v>
      </c>
      <c r="AH26" s="7">
        <f t="shared" si="26"/>
        <v>8.9780044554508276E-2</v>
      </c>
      <c r="AI26" s="85">
        <f t="shared" si="27"/>
        <v>2251234.617204295</v>
      </c>
      <c r="AJ26" s="104">
        <f>VLOOKUP(B26,[14]AKSoftSalesReport!$A:$D,4,0)</f>
        <v>1571179.6428571427</v>
      </c>
      <c r="AK26" s="7">
        <f t="shared" si="28"/>
        <v>8.1457390867322288E-2</v>
      </c>
      <c r="AL26" s="85">
        <f t="shared" si="29"/>
        <v>2042544.0759981063</v>
      </c>
      <c r="AM26" s="6">
        <f t="shared" si="4"/>
        <v>19304679.912857156</v>
      </c>
      <c r="AN26" s="6"/>
      <c r="AO26" s="73">
        <v>19288362.002857156</v>
      </c>
      <c r="AP26" s="87">
        <f t="shared" si="30"/>
        <v>25074870.603714302</v>
      </c>
      <c r="AQ26" s="237">
        <v>0.3</v>
      </c>
      <c r="AR26" s="3">
        <v>25075000</v>
      </c>
      <c r="AS26" s="240">
        <f t="shared" si="31"/>
        <v>25096213.392468955</v>
      </c>
      <c r="AT26" s="31">
        <f t="shared" si="32"/>
        <v>21213.392468955368</v>
      </c>
      <c r="AU26" s="28">
        <f t="shared" si="5"/>
        <v>-16317.910000000149</v>
      </c>
      <c r="AZ26" s="28">
        <v>398421</v>
      </c>
      <c r="BA26" s="28">
        <f t="shared" si="1"/>
        <v>1081587.58</v>
      </c>
      <c r="BB26" s="253">
        <v>455320.5</v>
      </c>
      <c r="BC26" s="28">
        <v>1480008.58</v>
      </c>
      <c r="BD26" s="28">
        <f>VLOOKUP(B26,[20]AKSoftSalesReport!$A:$B,2,0)</f>
        <v>272169.18000000005</v>
      </c>
      <c r="BE26" s="28">
        <f t="shared" si="2"/>
        <v>1451834.4600000009</v>
      </c>
      <c r="BF26" s="28">
        <f>VLOOKUP(B26,[21]AKSoftSalesReport!$A:$B,2,0)</f>
        <v>269244.76000000013</v>
      </c>
      <c r="BG26" s="28">
        <v>1724003.6400000011</v>
      </c>
      <c r="BH26" s="28">
        <v>269244.76000000013</v>
      </c>
      <c r="BI26" s="28">
        <f t="shared" si="3"/>
        <v>1445595.0300000031</v>
      </c>
      <c r="BJ26" s="28">
        <f>VLOOKUP(B26,[22]AKSoftSalesReport!$A:$B,2,0)</f>
        <v>288487.0900000002</v>
      </c>
      <c r="BK26" s="28">
        <v>1714839.7900000033</v>
      </c>
    </row>
    <row r="27" spans="1:63" x14ac:dyDescent="0.3">
      <c r="A27" s="61">
        <v>24</v>
      </c>
      <c r="B27" s="90" t="s">
        <v>16</v>
      </c>
      <c r="C27" s="70">
        <f>VLOOKUP(B27,[3]AKSoftSalesReport!$B$2:$C$87,2,0)</f>
        <v>261670.8</v>
      </c>
      <c r="D27" s="7">
        <f t="shared" si="6"/>
        <v>7.4114879759002827E-2</v>
      </c>
      <c r="E27" s="85">
        <v>400000</v>
      </c>
      <c r="F27" s="70">
        <v>205095.5</v>
      </c>
      <c r="G27" s="7">
        <f t="shared" si="8"/>
        <v>5.809065559325903E-2</v>
      </c>
      <c r="H27" s="85">
        <v>300000</v>
      </c>
      <c r="I27" s="70">
        <v>186640</v>
      </c>
      <c r="J27" s="7">
        <f t="shared" si="10"/>
        <v>5.2863373208704552E-2</v>
      </c>
      <c r="K27" s="85">
        <v>280000</v>
      </c>
      <c r="L27" s="6">
        <v>219052.5</v>
      </c>
      <c r="M27" s="7">
        <f t="shared" si="12"/>
        <v>6.2043795862621917E-2</v>
      </c>
      <c r="N27" s="85">
        <v>330000</v>
      </c>
      <c r="O27" s="6">
        <v>241333</v>
      </c>
      <c r="P27" s="7">
        <f t="shared" si="14"/>
        <v>6.8354460172397644E-2</v>
      </c>
      <c r="Q27" s="85">
        <v>350000</v>
      </c>
      <c r="R27" s="6">
        <v>238610.3000000001</v>
      </c>
      <c r="S27" s="7">
        <f t="shared" si="16"/>
        <v>6.7583290507613386E-2</v>
      </c>
      <c r="T27" s="85">
        <v>350000</v>
      </c>
      <c r="U27" s="71">
        <f>VLOOKUP(B27,[9]AKSoftSalesReport!$B$2:$C$94,2,0)</f>
        <v>274142.20000000007</v>
      </c>
      <c r="V27" s="7">
        <f t="shared" si="18"/>
        <v>7.7647242985722939E-2</v>
      </c>
      <c r="W27" s="85">
        <v>400000</v>
      </c>
      <c r="X27" s="71">
        <f>VLOOKUP(B27,[10]AKSoftSalesReport!$B$2:$C$94,2,0)</f>
        <v>304671.10000000003</v>
      </c>
      <c r="Y27" s="7">
        <f t="shared" si="20"/>
        <v>8.6294160229353559E-2</v>
      </c>
      <c r="Z27" s="85">
        <v>460000</v>
      </c>
      <c r="AA27" s="71">
        <f>VLOOKUP(B27,[11]AKSoftSalesReport!$B$2:$C$94,2,0)</f>
        <v>325535.06</v>
      </c>
      <c r="AB27" s="7">
        <f t="shared" si="22"/>
        <v>9.2203607850932429E-2</v>
      </c>
      <c r="AC27" s="85">
        <v>490000</v>
      </c>
      <c r="AD27" s="51">
        <f>VLOOKUP(B27,[12]AKSoftSalesReport!$B$2:$C$89,2,0)</f>
        <v>371823.06000000006</v>
      </c>
      <c r="AE27" s="7">
        <f t="shared" si="24"/>
        <v>0.10531408695018511</v>
      </c>
      <c r="AF27" s="85">
        <v>560000</v>
      </c>
      <c r="AG27" s="154">
        <f>VLOOKUP(B27,[13]AKSoftSalesReport!$B$2:$C$90,2,0)</f>
        <v>385103</v>
      </c>
      <c r="AH27" s="7">
        <f t="shared" si="26"/>
        <v>0.10907545870548516</v>
      </c>
      <c r="AI27" s="85">
        <v>580000</v>
      </c>
      <c r="AJ27" s="104">
        <f>VLOOKUP(B27,[14]AKSoftSalesReport!$A:$D,4,0)</f>
        <v>530259.42857142864</v>
      </c>
      <c r="AK27" s="7">
        <f t="shared" si="28"/>
        <v>0.15018914525292459</v>
      </c>
      <c r="AL27" s="85">
        <v>800000</v>
      </c>
      <c r="AM27" s="6">
        <f t="shared" si="4"/>
        <v>3543935.9485714291</v>
      </c>
      <c r="AN27" s="6"/>
      <c r="AO27" s="73">
        <v>3530610.868571429</v>
      </c>
      <c r="AP27" s="87">
        <f t="shared" si="30"/>
        <v>5295916.3028571438</v>
      </c>
      <c r="AQ27" s="262">
        <v>0.5</v>
      </c>
      <c r="AR27" s="25">
        <v>5300000</v>
      </c>
      <c r="AS27" s="240">
        <f t="shared" si="31"/>
        <v>5300000</v>
      </c>
      <c r="AT27" s="31">
        <f t="shared" si="32"/>
        <v>0</v>
      </c>
      <c r="AU27" s="28">
        <f t="shared" si="5"/>
        <v>-13325.080000000075</v>
      </c>
      <c r="AV27" s="261">
        <f>AP27-AR27</f>
        <v>-4083.6971428561956</v>
      </c>
      <c r="AZ27" s="28">
        <v>81480</v>
      </c>
      <c r="BA27" s="28">
        <f t="shared" si="1"/>
        <v>137572.5</v>
      </c>
      <c r="BB27" s="253">
        <v>71674.5</v>
      </c>
      <c r="BC27" s="28">
        <v>219052.5</v>
      </c>
      <c r="BD27" s="28">
        <f>VLOOKUP(B27,[20]AKSoftSalesReport!$A:$B,2,0)</f>
        <v>31070</v>
      </c>
      <c r="BE27" s="28">
        <f t="shared" si="2"/>
        <v>210263</v>
      </c>
      <c r="BF27" s="28">
        <f>VLOOKUP(B27,[21]AKSoftSalesReport!$A:$B,2,0)</f>
        <v>42711</v>
      </c>
      <c r="BG27" s="28">
        <v>241333</v>
      </c>
      <c r="BH27" s="28">
        <v>42711</v>
      </c>
      <c r="BI27" s="28">
        <f t="shared" si="3"/>
        <v>195899.3000000001</v>
      </c>
      <c r="BJ27" s="28">
        <f>VLOOKUP(B27,[22]AKSoftSalesReport!$A:$B,2,0)</f>
        <v>44395.08</v>
      </c>
      <c r="BK27" s="28">
        <v>238610.3000000001</v>
      </c>
    </row>
    <row r="28" spans="1:63" x14ac:dyDescent="0.3">
      <c r="A28" s="239">
        <v>25</v>
      </c>
      <c r="B28" s="89" t="s">
        <v>71</v>
      </c>
      <c r="C28" s="70">
        <f>VLOOKUP(B28,[3]AKSoftSalesReport!$B$2:$C$87,2,0)</f>
        <v>1283407</v>
      </c>
      <c r="D28" s="7">
        <f t="shared" si="6"/>
        <v>4.8567442086647115E-2</v>
      </c>
      <c r="E28" s="85">
        <f t="shared" si="7"/>
        <v>1347746.5179044574</v>
      </c>
      <c r="F28" s="70">
        <v>1097847.5</v>
      </c>
      <c r="G28" s="7">
        <f t="shared" si="8"/>
        <v>4.154539041490371E-2</v>
      </c>
      <c r="H28" s="85">
        <f t="shared" si="9"/>
        <v>1152884.584013578</v>
      </c>
      <c r="I28" s="70">
        <v>959793</v>
      </c>
      <c r="J28" s="7">
        <f t="shared" si="10"/>
        <v>3.6321050876821845E-2</v>
      </c>
      <c r="K28" s="85">
        <f t="shared" si="11"/>
        <v>1007909.1618318062</v>
      </c>
      <c r="L28" s="6">
        <v>1333269.5</v>
      </c>
      <c r="M28" s="7">
        <f t="shared" si="12"/>
        <v>5.0454368121058212E-2</v>
      </c>
      <c r="N28" s="85">
        <f t="shared" si="13"/>
        <v>1400108.7153593653</v>
      </c>
      <c r="O28" s="6">
        <v>1617339</v>
      </c>
      <c r="P28" s="7">
        <f t="shared" si="14"/>
        <v>6.1204293117441126E-2</v>
      </c>
      <c r="Q28" s="85">
        <f t="shared" si="15"/>
        <v>1698419.1340089913</v>
      </c>
      <c r="R28" s="6">
        <v>1566892</v>
      </c>
      <c r="S28" s="7">
        <f t="shared" si="16"/>
        <v>5.9295248090458191E-2</v>
      </c>
      <c r="T28" s="85">
        <f t="shared" si="17"/>
        <v>1645443.1345102149</v>
      </c>
      <c r="U28" s="71">
        <f>VLOOKUP(B28,[9]AKSoftSalesReport!$B$2:$C$94,2,0)</f>
        <v>1428611</v>
      </c>
      <c r="V28" s="7">
        <f t="shared" si="18"/>
        <v>5.406233720623857E-2</v>
      </c>
      <c r="W28" s="85">
        <f t="shared" si="19"/>
        <v>1500229.8574731203</v>
      </c>
      <c r="X28" s="71">
        <f>VLOOKUP(B28,[10]AKSoftSalesReport!$B$2:$C$94,2,0)</f>
        <v>2054314</v>
      </c>
      <c r="Y28" s="7">
        <f t="shared" si="20"/>
        <v>7.7740557923393266E-2</v>
      </c>
      <c r="Z28" s="85">
        <f t="shared" si="21"/>
        <v>2157300.4823741633</v>
      </c>
      <c r="AA28" s="71">
        <f>VLOOKUP(B28,[11]AKSoftSalesReport!$B$2:$C$94,2,0)</f>
        <v>2461992.71</v>
      </c>
      <c r="AB28" s="7">
        <f t="shared" si="22"/>
        <v>9.316817530266891E-2</v>
      </c>
      <c r="AC28" s="85">
        <f t="shared" si="23"/>
        <v>2585416.864649062</v>
      </c>
      <c r="AD28" s="51">
        <f>VLOOKUP(B28,[12]AKSoftSalesReport!$B$2:$C$89,2,0)</f>
        <v>3437293</v>
      </c>
      <c r="AE28" s="7">
        <f t="shared" si="24"/>
        <v>0.13007606216292847</v>
      </c>
      <c r="AF28" s="85">
        <f t="shared" si="25"/>
        <v>3609610.725021265</v>
      </c>
      <c r="AG28" s="154">
        <f>VLOOKUP(B28,[13]AKSoftSalesReport!$B$2:$C$90,2,0)</f>
        <v>4586619</v>
      </c>
      <c r="AH28" s="7">
        <f t="shared" si="26"/>
        <v>0.17356953223413563</v>
      </c>
      <c r="AI28" s="85">
        <f t="shared" si="27"/>
        <v>4816554.5194972632</v>
      </c>
      <c r="AJ28" s="104">
        <f>VLOOKUP(B28,[14]AKSoftSalesReport!$A:$D,4,0)</f>
        <v>4684073.4285714291</v>
      </c>
      <c r="AK28" s="7">
        <f t="shared" si="28"/>
        <v>0.17725746000430534</v>
      </c>
      <c r="AL28" s="85">
        <f t="shared" si="29"/>
        <v>4918894.5151194734</v>
      </c>
      <c r="AM28" s="6">
        <f t="shared" si="4"/>
        <v>26511451.13857143</v>
      </c>
      <c r="AN28" s="6"/>
      <c r="AO28" s="73">
        <v>26425254.13857143</v>
      </c>
      <c r="AP28" s="87">
        <f t="shared" si="30"/>
        <v>27746516.8455</v>
      </c>
      <c r="AQ28" s="237">
        <v>0.05</v>
      </c>
      <c r="AR28" s="3">
        <v>27750000</v>
      </c>
      <c r="AS28" s="240">
        <f t="shared" si="31"/>
        <v>27840518.211762764</v>
      </c>
      <c r="AT28" s="31">
        <f t="shared" si="32"/>
        <v>90518.21176276356</v>
      </c>
      <c r="AU28" s="28">
        <f t="shared" si="5"/>
        <v>-86197</v>
      </c>
      <c r="AZ28" s="28">
        <v>283173</v>
      </c>
      <c r="BA28" s="28">
        <f t="shared" si="1"/>
        <v>1050096.5</v>
      </c>
      <c r="BB28" s="253">
        <v>395222.5</v>
      </c>
      <c r="BC28" s="28">
        <v>1333269.5</v>
      </c>
      <c r="BD28" s="28">
        <f>VLOOKUP(B28,[20]AKSoftSalesReport!$A:$B,2,0)</f>
        <v>164456</v>
      </c>
      <c r="BE28" s="28">
        <f t="shared" si="2"/>
        <v>1452883</v>
      </c>
      <c r="BF28" s="28">
        <f>VLOOKUP(B28,[21]AKSoftSalesReport!$A:$B,2,0)</f>
        <v>352564</v>
      </c>
      <c r="BG28" s="28">
        <v>1617339</v>
      </c>
      <c r="BH28" s="28">
        <v>352564</v>
      </c>
      <c r="BI28" s="28">
        <f t="shared" si="3"/>
        <v>1214328</v>
      </c>
      <c r="BJ28" s="28">
        <f>VLOOKUP(B28,[22]AKSoftSalesReport!$A:$B,2,0)</f>
        <v>250653</v>
      </c>
      <c r="BK28" s="28">
        <v>1566892</v>
      </c>
    </row>
    <row r="29" spans="1:63" x14ac:dyDescent="0.3">
      <c r="A29" s="61">
        <v>26</v>
      </c>
      <c r="B29" s="90" t="s">
        <v>74</v>
      </c>
      <c r="C29" s="70">
        <f>VLOOKUP(B29,[3]AKSoftSalesReport!$B$2:$C$87,2,0)</f>
        <v>565875.2200000002</v>
      </c>
      <c r="D29" s="7">
        <f t="shared" si="6"/>
        <v>8.1108641216542751E-2</v>
      </c>
      <c r="E29" s="85">
        <v>800000</v>
      </c>
      <c r="F29" s="70">
        <v>494875.95999999996</v>
      </c>
      <c r="G29" s="7">
        <f t="shared" si="8"/>
        <v>7.0932098221816717E-2</v>
      </c>
      <c r="H29" s="85">
        <v>700000</v>
      </c>
      <c r="I29" s="70">
        <v>441289</v>
      </c>
      <c r="J29" s="7">
        <f t="shared" si="10"/>
        <v>6.3251313909463855E-2</v>
      </c>
      <c r="K29" s="85">
        <v>620000</v>
      </c>
      <c r="L29" s="6">
        <v>642484.83000000007</v>
      </c>
      <c r="M29" s="7">
        <f t="shared" si="12"/>
        <v>9.2089332986769495E-2</v>
      </c>
      <c r="N29" s="85">
        <v>900000</v>
      </c>
      <c r="O29" s="6">
        <v>639768.15000000014</v>
      </c>
      <c r="P29" s="7">
        <f t="shared" si="14"/>
        <v>9.1699942860408862E-2</v>
      </c>
      <c r="Q29" s="85">
        <v>900000</v>
      </c>
      <c r="R29" s="6">
        <v>606514.67000000027</v>
      </c>
      <c r="S29" s="7">
        <f t="shared" si="16"/>
        <v>8.6933618972747789E-2</v>
      </c>
      <c r="T29" s="85">
        <v>850000</v>
      </c>
      <c r="U29" s="71">
        <f>VLOOKUP(B29,[9]AKSoftSalesReport!$B$2:$C$94,2,0)</f>
        <v>572200.27000000014</v>
      </c>
      <c r="V29" s="7">
        <f t="shared" si="18"/>
        <v>8.2015230148156842E-2</v>
      </c>
      <c r="W29" s="85">
        <v>800000</v>
      </c>
      <c r="X29" s="71">
        <f>VLOOKUP(B29,[10]AKSoftSalesReport!$B$2:$C$94,2,0)</f>
        <v>689190.07000000007</v>
      </c>
      <c r="Y29" s="7">
        <f t="shared" si="20"/>
        <v>9.8783739138875823E-2</v>
      </c>
      <c r="Z29" s="85">
        <v>950000</v>
      </c>
      <c r="AA29" s="71">
        <f>VLOOKUP(B29,[11]AKSoftSalesReport!$B$2:$C$94,2,0)</f>
        <v>616479</v>
      </c>
      <c r="AB29" s="7">
        <f t="shared" si="22"/>
        <v>8.836183713528406E-2</v>
      </c>
      <c r="AC29" s="85">
        <v>850000</v>
      </c>
      <c r="AD29" s="51">
        <f>VLOOKUP(B29,[12]AKSoftSalesReport!$B$2:$C$89,2,0)</f>
        <v>580114.09000000008</v>
      </c>
      <c r="AE29" s="7">
        <f t="shared" si="24"/>
        <v>8.3149542385812861E-2</v>
      </c>
      <c r="AF29" s="85">
        <v>820000</v>
      </c>
      <c r="AG29" s="154">
        <f>VLOOKUP(B29,[13]AKSoftSalesReport!$B$2:$C$90,2,0)</f>
        <v>555331</v>
      </c>
      <c r="AH29" s="7">
        <f t="shared" si="26"/>
        <v>7.9597305631131696E-2</v>
      </c>
      <c r="AI29" s="85">
        <v>780000</v>
      </c>
      <c r="AJ29" s="104">
        <f>VLOOKUP(B29,[14]AKSoftSalesReport!$A:$D,4,0)</f>
        <v>574999.11571428576</v>
      </c>
      <c r="AK29" s="7">
        <f t="shared" si="28"/>
        <v>8.2416397339857603E-2</v>
      </c>
      <c r="AL29" s="85">
        <v>800000</v>
      </c>
      <c r="AM29" s="6">
        <f t="shared" si="4"/>
        <v>6979121.3757142872</v>
      </c>
      <c r="AN29" s="6"/>
      <c r="AO29" s="73">
        <v>6976756.2557142861</v>
      </c>
      <c r="AP29" s="87">
        <f t="shared" si="30"/>
        <v>9767458.7580000013</v>
      </c>
      <c r="AQ29" s="262">
        <v>0.4</v>
      </c>
      <c r="AR29" s="3">
        <v>9770000</v>
      </c>
      <c r="AS29" s="240">
        <f t="shared" si="31"/>
        <v>9770000</v>
      </c>
      <c r="AT29" s="31">
        <f>AS29-AR29</f>
        <v>0</v>
      </c>
      <c r="AU29" s="28">
        <f t="shared" si="5"/>
        <v>-2365.1200000010431</v>
      </c>
      <c r="AV29" s="261">
        <f>AP29-AR29</f>
        <v>-2541.2419999986887</v>
      </c>
      <c r="AZ29" s="28">
        <v>156297</v>
      </c>
      <c r="BA29" s="28">
        <f t="shared" si="1"/>
        <v>486187.83000000007</v>
      </c>
      <c r="BB29" s="253">
        <v>217203.5</v>
      </c>
      <c r="BC29" s="28">
        <v>642484.83000000007</v>
      </c>
      <c r="BD29" s="28">
        <f>VLOOKUP(B29,[20]AKSoftSalesReport!$A:$B,2,0)</f>
        <v>103960.03</v>
      </c>
      <c r="BE29" s="28">
        <f t="shared" si="2"/>
        <v>535808.12000000011</v>
      </c>
      <c r="BF29" s="28">
        <f>VLOOKUP(B29,[21]AKSoftSalesReport!$A:$B,2,0)</f>
        <v>91324.049999999988</v>
      </c>
      <c r="BG29" s="28">
        <v>639768.15000000014</v>
      </c>
      <c r="BH29" s="28">
        <v>91324.049999999988</v>
      </c>
      <c r="BI29" s="28">
        <f t="shared" si="3"/>
        <v>515190.62000000029</v>
      </c>
      <c r="BJ29" s="28">
        <f>VLOOKUP(B29,[22]AKSoftSalesReport!$A:$B,2,0)</f>
        <v>106325.14999999998</v>
      </c>
      <c r="BK29" s="28">
        <v>606514.67000000027</v>
      </c>
    </row>
    <row r="30" spans="1:63" x14ac:dyDescent="0.3">
      <c r="A30" s="239">
        <v>27</v>
      </c>
      <c r="B30" s="89" t="s">
        <v>72</v>
      </c>
      <c r="C30" s="70">
        <f>VLOOKUP(B30,[3]AKSoftSalesReport!$B$2:$C$87,2,0)</f>
        <v>1416866.8400000038</v>
      </c>
      <c r="D30" s="7">
        <f t="shared" si="6"/>
        <v>7.4214565414824601E-2</v>
      </c>
      <c r="E30" s="85">
        <f t="shared" si="7"/>
        <v>1912880.4235671042</v>
      </c>
      <c r="F30" s="70">
        <v>1242603.8700000001</v>
      </c>
      <c r="G30" s="7">
        <f t="shared" si="8"/>
        <v>6.5086784157379937E-2</v>
      </c>
      <c r="H30" s="85">
        <f t="shared" si="9"/>
        <v>1677611.8616564679</v>
      </c>
      <c r="I30" s="70">
        <v>1467528</v>
      </c>
      <c r="J30" s="7">
        <f t="shared" si="10"/>
        <v>7.6868164092319669E-2</v>
      </c>
      <c r="K30" s="85">
        <f t="shared" si="11"/>
        <v>1981276.9294795394</v>
      </c>
      <c r="L30" s="6">
        <v>1528594.2900000005</v>
      </c>
      <c r="M30" s="7">
        <f t="shared" si="12"/>
        <v>8.0066776725420508E-2</v>
      </c>
      <c r="N30" s="85">
        <f t="shared" si="13"/>
        <v>2063721.1700977136</v>
      </c>
      <c r="O30" s="6">
        <v>1618023.2500000026</v>
      </c>
      <c r="P30" s="7">
        <f t="shared" si="14"/>
        <v>8.4751007603390577E-2</v>
      </c>
      <c r="Q30" s="85">
        <f t="shared" si="15"/>
        <v>2184457.220977392</v>
      </c>
      <c r="R30" s="6">
        <v>1671834.04</v>
      </c>
      <c r="S30" s="7">
        <f t="shared" si="16"/>
        <v>8.7569581855913972E-2</v>
      </c>
      <c r="T30" s="85">
        <f t="shared" si="17"/>
        <v>2257105.9723361828</v>
      </c>
      <c r="U30" s="71">
        <f>VLOOKUP(B30,[9]AKSoftSalesReport!$B$2:$C$94,2,0)</f>
        <v>1794865</v>
      </c>
      <c r="V30" s="7">
        <f t="shared" si="18"/>
        <v>9.4013863683392304E-2</v>
      </c>
      <c r="W30" s="85">
        <f t="shared" si="19"/>
        <v>2423207.3364394368</v>
      </c>
      <c r="X30" s="71">
        <f>VLOOKUP(B30,[10]AKSoftSalesReport!$B$2:$C$94,2,0)</f>
        <v>1761164.1</v>
      </c>
      <c r="Y30" s="7">
        <f t="shared" si="20"/>
        <v>9.2248632416078252E-2</v>
      </c>
      <c r="Z30" s="85">
        <f t="shared" si="21"/>
        <v>2377708.500524417</v>
      </c>
      <c r="AA30" s="71">
        <f>VLOOKUP(B30,[11]AKSoftSalesReport!$B$2:$C$94,2,0)</f>
        <v>1634722</v>
      </c>
      <c r="AB30" s="7">
        <f t="shared" si="22"/>
        <v>8.5625677289513383E-2</v>
      </c>
      <c r="AC30" s="85">
        <f t="shared" si="23"/>
        <v>2207001.8321372075</v>
      </c>
      <c r="AD30" s="51">
        <f>VLOOKUP(B30,[12]AKSoftSalesReport!$B$2:$C$89,2,0)</f>
        <v>1659916.5000000005</v>
      </c>
      <c r="AE30" s="7">
        <f t="shared" si="24"/>
        <v>8.6945348846188264E-2</v>
      </c>
      <c r="AF30" s="85">
        <f t="shared" si="25"/>
        <v>2241016.3665105025</v>
      </c>
      <c r="AG30" s="154">
        <f>VLOOKUP(B30,[13]AKSoftSalesReport!$B$2:$C$90,2,0)</f>
        <v>1588262</v>
      </c>
      <c r="AH30" s="7">
        <f t="shared" si="26"/>
        <v>8.3192132645916003E-2</v>
      </c>
      <c r="AI30" s="85">
        <f t="shared" si="27"/>
        <v>2144277.2189484849</v>
      </c>
      <c r="AJ30" s="104">
        <f>VLOOKUP(B30,[14]AKSoftSalesReport!$A:$D,4,0)</f>
        <v>1707013.8928571437</v>
      </c>
      <c r="AK30" s="7">
        <f t="shared" si="28"/>
        <v>8.9412279713921849E-2</v>
      </c>
      <c r="AL30" s="85">
        <f t="shared" si="29"/>
        <v>2304601.5096263355</v>
      </c>
      <c r="AM30" s="6">
        <f t="shared" si="4"/>
        <v>19091393.78285715</v>
      </c>
      <c r="AN30" s="6"/>
      <c r="AO30" s="73">
        <v>19091492.78285715</v>
      </c>
      <c r="AP30" s="87">
        <f t="shared" si="30"/>
        <v>25773515.256857153</v>
      </c>
      <c r="AQ30" s="237">
        <v>0.35</v>
      </c>
      <c r="AR30" s="3">
        <v>25775000</v>
      </c>
      <c r="AS30" s="240">
        <f t="shared" si="31"/>
        <v>25774866.342300784</v>
      </c>
      <c r="AT30" s="31">
        <f t="shared" si="32"/>
        <v>-133.6576992161572</v>
      </c>
      <c r="AU30" s="28">
        <f t="shared" si="5"/>
        <v>99</v>
      </c>
      <c r="AZ30" s="28">
        <v>534338</v>
      </c>
      <c r="BA30" s="28">
        <f t="shared" si="1"/>
        <v>994256.2900000005</v>
      </c>
      <c r="BB30" s="253">
        <v>518042.84</v>
      </c>
      <c r="BC30" s="28">
        <v>1528594.2900000005</v>
      </c>
      <c r="BD30" s="28">
        <f>VLOOKUP(B30,[20]AKSoftSalesReport!$A:$B,2,0)</f>
        <v>277303</v>
      </c>
      <c r="BE30" s="28">
        <f t="shared" si="2"/>
        <v>1340720.2500000026</v>
      </c>
      <c r="BF30" s="28">
        <f>VLOOKUP(B30,[21]AKSoftSalesReport!$A:$B,2,0)</f>
        <v>271062</v>
      </c>
      <c r="BG30" s="28">
        <v>1618023.2500000026</v>
      </c>
      <c r="BH30" s="28">
        <v>271062</v>
      </c>
      <c r="BI30" s="28">
        <f t="shared" si="3"/>
        <v>1400772.04</v>
      </c>
      <c r="BJ30" s="28">
        <f>VLOOKUP(B30,[22]AKSoftSalesReport!$A:$B,2,0)</f>
        <v>277204</v>
      </c>
      <c r="BK30" s="28">
        <v>1671834.04</v>
      </c>
    </row>
    <row r="31" spans="1:63" x14ac:dyDescent="0.3">
      <c r="A31" s="61">
        <v>28</v>
      </c>
      <c r="B31" s="90" t="s">
        <v>73</v>
      </c>
      <c r="C31" s="70">
        <f>VLOOKUP(B31,[3]AKSoftSalesReport!$B$2:$C$87,2,0)</f>
        <v>1089730.5200000016</v>
      </c>
      <c r="D31" s="7">
        <f t="shared" si="6"/>
        <v>7.3455416401955922E-2</v>
      </c>
      <c r="E31" s="85">
        <f t="shared" si="7"/>
        <v>1253149.403817368</v>
      </c>
      <c r="F31" s="70">
        <v>912831.5</v>
      </c>
      <c r="G31" s="7">
        <f t="shared" si="8"/>
        <v>6.1531192076112469E-2</v>
      </c>
      <c r="H31" s="85">
        <f t="shared" si="9"/>
        <v>1049722.1368184788</v>
      </c>
      <c r="I31" s="70">
        <v>1068116</v>
      </c>
      <c r="J31" s="7">
        <f t="shared" si="10"/>
        <v>7.1998447419451397E-2</v>
      </c>
      <c r="K31" s="85">
        <f t="shared" si="11"/>
        <v>1228293.5129758408</v>
      </c>
      <c r="L31" s="6">
        <v>1189064.5</v>
      </c>
      <c r="M31" s="7">
        <f t="shared" si="12"/>
        <v>8.0151217547144937E-2</v>
      </c>
      <c r="N31" s="85">
        <f t="shared" si="13"/>
        <v>1367379.7713542925</v>
      </c>
      <c r="O31" s="6">
        <v>1234840.7300000002</v>
      </c>
      <c r="P31" s="7">
        <f t="shared" si="14"/>
        <v>8.3236853834510474E-2</v>
      </c>
      <c r="Q31" s="85">
        <f t="shared" si="15"/>
        <v>1420020.7264167487</v>
      </c>
      <c r="R31" s="6">
        <v>1315970.2700000016</v>
      </c>
      <c r="S31" s="7">
        <f t="shared" si="16"/>
        <v>8.8705549107172238E-2</v>
      </c>
      <c r="T31" s="85">
        <f t="shared" si="17"/>
        <v>1513316.6677683585</v>
      </c>
      <c r="U31" s="71">
        <f>VLOOKUP(B31,[9]AKSoftSalesReport!$B$2:$C$94,2,0)</f>
        <v>1388282.7600000007</v>
      </c>
      <c r="V31" s="7">
        <f t="shared" si="18"/>
        <v>9.357991388500024E-2</v>
      </c>
      <c r="W31" s="85">
        <f t="shared" si="19"/>
        <v>1596473.3308781041</v>
      </c>
      <c r="X31" s="71">
        <f>VLOOKUP(B31,[10]AKSoftSalesReport!$B$2:$C$94,2,0)</f>
        <v>1392239.5600000003</v>
      </c>
      <c r="Y31" s="7">
        <f t="shared" si="20"/>
        <v>9.3846629725554312E-2</v>
      </c>
      <c r="Z31" s="85">
        <f t="shared" si="21"/>
        <v>1601023.5031179565</v>
      </c>
      <c r="AA31" s="71">
        <f>VLOOKUP(B31,[11]AKSoftSalesReport!$B$2:$C$94,2,0)</f>
        <v>1408408.1</v>
      </c>
      <c r="AB31" s="7">
        <f t="shared" si="22"/>
        <v>9.4936501777877547E-2</v>
      </c>
      <c r="AC31" s="85">
        <f t="shared" si="23"/>
        <v>1619616.7203305908</v>
      </c>
      <c r="AD31" s="51">
        <f>VLOOKUP(B31,[12]AKSoftSalesReport!$B$2:$C$89,2,0)</f>
        <v>1357415.100000002</v>
      </c>
      <c r="AE31" s="7">
        <f t="shared" si="24"/>
        <v>9.1499218908545038E-2</v>
      </c>
      <c r="AF31" s="85">
        <f t="shared" si="25"/>
        <v>1560976.6745797785</v>
      </c>
      <c r="AG31" s="154">
        <f>VLOOKUP(B31,[13]AKSoftSalesReport!$B$2:$C$90,2,0)</f>
        <v>1271372</v>
      </c>
      <c r="AH31" s="7">
        <f t="shared" si="26"/>
        <v>8.5699315516819113E-2</v>
      </c>
      <c r="AI31" s="85">
        <f t="shared" si="27"/>
        <v>1462030.3227169341</v>
      </c>
      <c r="AJ31" s="104">
        <f>VLOOKUP(B31,[14]AKSoftSalesReport!$A:$D,4,0)</f>
        <v>1223729.7164285716</v>
      </c>
      <c r="AK31" s="7">
        <f t="shared" si="28"/>
        <v>8.2487894239860346E-2</v>
      </c>
      <c r="AL31" s="85">
        <f t="shared" si="29"/>
        <v>1407243.4757320175</v>
      </c>
      <c r="AM31" s="6">
        <f t="shared" si="4"/>
        <v>14852000.756428579</v>
      </c>
      <c r="AN31" s="6"/>
      <c r="AO31" s="73">
        <v>14835264.346428579</v>
      </c>
      <c r="AP31" s="87">
        <f t="shared" si="30"/>
        <v>17060553.998392865</v>
      </c>
      <c r="AQ31" s="237">
        <v>0.15</v>
      </c>
      <c r="AR31" s="1">
        <v>17060000</v>
      </c>
      <c r="AS31" s="240">
        <f t="shared" si="31"/>
        <v>17079246.246506471</v>
      </c>
      <c r="AT31" s="31">
        <f t="shared" si="32"/>
        <v>19246.246506471187</v>
      </c>
      <c r="AU31" s="28">
        <f t="shared" si="5"/>
        <v>-16736.410000000149</v>
      </c>
      <c r="AZ31" s="28">
        <v>456340</v>
      </c>
      <c r="BA31" s="28">
        <f t="shared" si="1"/>
        <v>732724.5</v>
      </c>
      <c r="BB31" s="253">
        <v>382138.5</v>
      </c>
      <c r="BC31" s="28">
        <v>1189064.5</v>
      </c>
      <c r="BD31" s="28">
        <f>VLOOKUP(B31,[20]AKSoftSalesReport!$A:$B,2,0)</f>
        <v>201015.03</v>
      </c>
      <c r="BE31" s="28">
        <f t="shared" si="2"/>
        <v>1033825.7000000002</v>
      </c>
      <c r="BF31" s="28">
        <f>VLOOKUP(B31,[21]AKSoftSalesReport!$A:$B,2,0)</f>
        <v>228270.26000000004</v>
      </c>
      <c r="BG31" s="28">
        <v>1234840.7300000002</v>
      </c>
      <c r="BH31" s="28">
        <v>228270.26000000004</v>
      </c>
      <c r="BI31" s="28">
        <f t="shared" si="3"/>
        <v>1087700.0100000016</v>
      </c>
      <c r="BJ31" s="28">
        <f>VLOOKUP(B31,[22]AKSoftSalesReport!$A:$B,2,0)</f>
        <v>217751.43999999997</v>
      </c>
      <c r="BK31" s="28">
        <v>1315970.2700000016</v>
      </c>
    </row>
    <row r="32" spans="1:63" x14ac:dyDescent="0.3">
      <c r="A32" s="239">
        <v>29</v>
      </c>
      <c r="B32" s="102" t="s">
        <v>227</v>
      </c>
      <c r="C32" s="70">
        <f>VLOOKUP(B32,[3]AKSoftSalesReport!$B$2:$C$87,2,0)</f>
        <v>642171</v>
      </c>
      <c r="D32" s="7">
        <f t="shared" si="6"/>
        <v>9.194071052226524E-2</v>
      </c>
      <c r="E32" s="85">
        <f t="shared" si="7"/>
        <v>867000.90022496122</v>
      </c>
      <c r="F32" s="70">
        <v>520266</v>
      </c>
      <c r="G32" s="7">
        <f t="shared" si="8"/>
        <v>7.448736504852578E-2</v>
      </c>
      <c r="H32" s="85">
        <f t="shared" si="9"/>
        <v>702415.85240759805</v>
      </c>
      <c r="I32" s="70">
        <v>450001</v>
      </c>
      <c r="J32" s="7">
        <f t="shared" si="10"/>
        <v>6.4427405902368493E-2</v>
      </c>
      <c r="K32" s="85">
        <f t="shared" si="11"/>
        <v>607550.43765933486</v>
      </c>
      <c r="L32" s="6">
        <v>548294.03</v>
      </c>
      <c r="M32" s="7">
        <f t="shared" si="12"/>
        <v>7.8500185609932896E-2</v>
      </c>
      <c r="N32" s="85">
        <f t="shared" si="13"/>
        <v>740256.75030166726</v>
      </c>
      <c r="O32" s="6">
        <v>598938.64000000106</v>
      </c>
      <c r="P32" s="7">
        <f t="shared" si="14"/>
        <v>8.5751060264071921E-2</v>
      </c>
      <c r="Q32" s="85">
        <f t="shared" si="15"/>
        <v>808632.49829019827</v>
      </c>
      <c r="R32" s="6">
        <v>581766.92000000109</v>
      </c>
      <c r="S32" s="7">
        <f t="shared" si="16"/>
        <v>8.3292556006344012E-2</v>
      </c>
      <c r="T32" s="85">
        <f t="shared" si="17"/>
        <v>785448.80313982407</v>
      </c>
      <c r="U32" s="71">
        <f>VLOOKUP(B32,[9]AKSoftSalesReport!$B$2:$C$94,2,0)</f>
        <v>542945.56999999995</v>
      </c>
      <c r="V32" s="7">
        <f t="shared" si="18"/>
        <v>7.7734437526322891E-2</v>
      </c>
      <c r="W32" s="85">
        <f t="shared" si="19"/>
        <v>733035.74587322492</v>
      </c>
      <c r="X32" s="71">
        <f>VLOOKUP(B32,[10]AKSoftSalesReport!$B$2:$C$94,2,0)</f>
        <v>527315.23</v>
      </c>
      <c r="Y32" s="7">
        <f t="shared" si="20"/>
        <v>7.5496615255767882E-2</v>
      </c>
      <c r="Z32" s="85">
        <f t="shared" si="21"/>
        <v>711933.08186189109</v>
      </c>
      <c r="AA32" s="71">
        <f>VLOOKUP(B32,[11]AKSoftSalesReport!$B$2:$C$94,2,0)</f>
        <v>588530.35000000033</v>
      </c>
      <c r="AB32" s="7">
        <f t="shared" si="22"/>
        <v>8.4260887743167284E-2</v>
      </c>
      <c r="AC32" s="85">
        <f t="shared" si="23"/>
        <v>794580.17141806753</v>
      </c>
      <c r="AD32" s="51">
        <f>VLOOKUP(B32,[12]AKSoftSalesReport!$B$2:$C$89,2,0)</f>
        <v>677604.23000000103</v>
      </c>
      <c r="AE32" s="7">
        <f t="shared" si="24"/>
        <v>9.7013746119168465E-2</v>
      </c>
      <c r="AF32" s="85">
        <f t="shared" si="25"/>
        <v>914839.62590375857</v>
      </c>
      <c r="AG32" s="154">
        <f>VLOOKUP(B32,[13]AKSoftSalesReport!$B$2:$C$90,2,0)</f>
        <v>655739</v>
      </c>
      <c r="AH32" s="7">
        <f t="shared" si="26"/>
        <v>9.388326407944253E-2</v>
      </c>
      <c r="AI32" s="85">
        <f t="shared" si="27"/>
        <v>885319.18026914308</v>
      </c>
      <c r="AJ32" s="104">
        <f>VLOOKUP(B32,[14]AKSoftSalesReport!$A:$D,4,0)</f>
        <v>665725</v>
      </c>
      <c r="AK32" s="7">
        <f t="shared" si="28"/>
        <v>9.5312976625283652E-2</v>
      </c>
      <c r="AL32" s="85">
        <f t="shared" si="29"/>
        <v>898801.36957642483</v>
      </c>
      <c r="AM32" s="6">
        <f t="shared" si="4"/>
        <v>6999296.9700000035</v>
      </c>
      <c r="AN32" s="6"/>
      <c r="AO32" s="224">
        <v>6984620.8100000024</v>
      </c>
      <c r="AP32" s="87">
        <f t="shared" si="30"/>
        <v>9429238.0935000032</v>
      </c>
      <c r="AQ32" s="237">
        <v>0.35</v>
      </c>
      <c r="AR32" s="3">
        <v>9430000</v>
      </c>
      <c r="AS32" s="240">
        <f t="shared" si="31"/>
        <v>9449814.4169260934</v>
      </c>
      <c r="AT32" s="31">
        <f t="shared" si="32"/>
        <v>19814.4169260934</v>
      </c>
      <c r="AU32" s="28">
        <f t="shared" si="5"/>
        <v>-14676.16000000108</v>
      </c>
      <c r="AZ32" s="28">
        <v>172654</v>
      </c>
      <c r="BA32" s="28">
        <f t="shared" si="1"/>
        <v>375640.03</v>
      </c>
      <c r="BB32" s="253">
        <v>210976.5</v>
      </c>
      <c r="BC32" s="28">
        <v>548294.03</v>
      </c>
      <c r="BD32" s="28">
        <f>VLOOKUP(B32,[20]AKSoftSalesReport!$A:$B,2,0)</f>
        <v>95570.229999999981</v>
      </c>
      <c r="BE32" s="28">
        <f t="shared" si="2"/>
        <v>503368.41000000108</v>
      </c>
      <c r="BF32" s="28">
        <f>VLOOKUP(B32,[21]AKSoftSalesReport!$A:$B,2,0)</f>
        <v>93000.19</v>
      </c>
      <c r="BG32" s="28">
        <v>598938.64000000106</v>
      </c>
      <c r="BH32" s="28">
        <v>93000.19</v>
      </c>
      <c r="BI32" s="28">
        <f t="shared" si="3"/>
        <v>488766.73000000109</v>
      </c>
      <c r="BJ32" s="28">
        <f>VLOOKUP(B32,[22]AKSoftSalesReport!$A:$B,2,0)</f>
        <v>110246.38999999996</v>
      </c>
      <c r="BK32" s="28">
        <v>581766.92000000109</v>
      </c>
    </row>
    <row r="33" spans="1:63" x14ac:dyDescent="0.3">
      <c r="A33" s="61">
        <v>30</v>
      </c>
      <c r="B33" s="90" t="s">
        <v>75</v>
      </c>
      <c r="C33" s="70">
        <f>VLOOKUP(B33,[3]AKSoftSalesReport!$B$2:$C$87,2,0)</f>
        <v>693330.74000000115</v>
      </c>
      <c r="D33" s="7">
        <f t="shared" si="6"/>
        <v>7.8916144280542389E-2</v>
      </c>
      <c r="E33" s="85">
        <v>900000</v>
      </c>
      <c r="F33" s="70">
        <v>584019.5</v>
      </c>
      <c r="G33" s="7">
        <f t="shared" si="8"/>
        <v>6.6474143530186117E-2</v>
      </c>
      <c r="H33" s="85">
        <v>760000</v>
      </c>
      <c r="I33" s="70">
        <v>689297</v>
      </c>
      <c r="J33" s="7">
        <f t="shared" si="10"/>
        <v>7.8457016782704517E-2</v>
      </c>
      <c r="K33" s="85">
        <v>900000</v>
      </c>
      <c r="L33" s="6">
        <v>669496.53</v>
      </c>
      <c r="M33" s="7">
        <f t="shared" si="12"/>
        <v>7.6203291890393307E-2</v>
      </c>
      <c r="N33" s="85">
        <v>870000</v>
      </c>
      <c r="O33" s="6">
        <v>792105.87000000011</v>
      </c>
      <c r="P33" s="7">
        <f t="shared" si="14"/>
        <v>9.0158906155501567E-2</v>
      </c>
      <c r="Q33" s="85">
        <v>1030000</v>
      </c>
      <c r="R33" s="6">
        <v>708066.58000000042</v>
      </c>
      <c r="S33" s="7">
        <f t="shared" si="16"/>
        <v>8.059340393231397E-2</v>
      </c>
      <c r="T33" s="85">
        <v>920000</v>
      </c>
      <c r="U33" s="71">
        <f>VLOOKUP(B33,[9]AKSoftSalesReport!$B$2:$C$94,2,0)</f>
        <v>748287.42999999993</v>
      </c>
      <c r="V33" s="7">
        <f t="shared" si="18"/>
        <v>8.5171412981337249E-2</v>
      </c>
      <c r="W33" s="85">
        <v>970000</v>
      </c>
      <c r="X33" s="71">
        <f>VLOOKUP(B33,[10]AKSoftSalesReport!$B$2:$C$94,2,0)</f>
        <v>722961.09000000008</v>
      </c>
      <c r="Y33" s="7">
        <f t="shared" si="20"/>
        <v>8.2288723687136828E-2</v>
      </c>
      <c r="Z33" s="85">
        <v>940000</v>
      </c>
      <c r="AA33" s="71">
        <f>VLOOKUP(B33,[11]AKSoftSalesReport!$B$2:$C$94,2,0)</f>
        <v>785993.25000000012</v>
      </c>
      <c r="AB33" s="7">
        <f t="shared" si="22"/>
        <v>8.9463156819690887E-2</v>
      </c>
      <c r="AC33" s="85">
        <v>1040000</v>
      </c>
      <c r="AD33" s="51">
        <f>VLOOKUP(B33,[12]AKSoftSalesReport!$B$2:$C$89,2,0)</f>
        <v>821797.60000000044</v>
      </c>
      <c r="AE33" s="7">
        <f t="shared" si="24"/>
        <v>9.353847194342399E-2</v>
      </c>
      <c r="AF33" s="85">
        <v>1070000</v>
      </c>
      <c r="AG33" s="154">
        <f>VLOOKUP(B33,[13]AKSoftSalesReport!$B$2:$C$90,2,0)</f>
        <v>742752</v>
      </c>
      <c r="AH33" s="7">
        <f t="shared" si="26"/>
        <v>8.4541360443157798E-2</v>
      </c>
      <c r="AI33" s="85">
        <v>960000</v>
      </c>
      <c r="AJ33" s="104">
        <f>VLOOKUP(B33,[14]AKSoftSalesReport!$A:$D,4,0)</f>
        <v>817596.52428571437</v>
      </c>
      <c r="AK33" s="7">
        <f t="shared" si="28"/>
        <v>9.3060297995443436E-2</v>
      </c>
      <c r="AL33" s="85">
        <v>1060000</v>
      </c>
      <c r="AM33" s="6">
        <f t="shared" si="4"/>
        <v>8775704.1142857149</v>
      </c>
      <c r="AN33" s="6"/>
      <c r="AO33" s="73">
        <v>8785664.1542857178</v>
      </c>
      <c r="AP33" s="87">
        <f t="shared" si="30"/>
        <v>11421363.400571432</v>
      </c>
      <c r="AQ33" s="262">
        <v>0.3</v>
      </c>
      <c r="AR33" s="3">
        <v>11420000</v>
      </c>
      <c r="AS33" s="240">
        <f t="shared" si="31"/>
        <v>11420000</v>
      </c>
      <c r="AT33" s="31">
        <f t="shared" si="32"/>
        <v>0</v>
      </c>
      <c r="AU33" s="28">
        <f t="shared" si="5"/>
        <v>9960.0400000028312</v>
      </c>
      <c r="AV33" s="261">
        <f>AP33-AR33</f>
        <v>1363.4005714319646</v>
      </c>
      <c r="AZ33" s="28">
        <v>242981</v>
      </c>
      <c r="BA33" s="28">
        <f t="shared" si="1"/>
        <v>426515.53</v>
      </c>
      <c r="BB33" s="253">
        <v>240383.5</v>
      </c>
      <c r="BC33" s="28">
        <v>669496.53</v>
      </c>
      <c r="BD33" s="28">
        <f>VLOOKUP(B33,[20]AKSoftSalesReport!$A:$B,2,0)</f>
        <v>132965</v>
      </c>
      <c r="BE33" s="28">
        <f t="shared" si="2"/>
        <v>659140.87000000011</v>
      </c>
      <c r="BF33" s="28">
        <f>VLOOKUP(B33,[21]AKSoftSalesReport!$A:$B,2,0)</f>
        <v>116797.17000000001</v>
      </c>
      <c r="BG33" s="28">
        <v>792105.87000000011</v>
      </c>
      <c r="BH33" s="28">
        <v>116797.17000000001</v>
      </c>
      <c r="BI33" s="28">
        <f t="shared" si="3"/>
        <v>591269.41000000038</v>
      </c>
      <c r="BJ33" s="28">
        <f>VLOOKUP(B33,[22]AKSoftSalesReport!$A:$B,2,0)</f>
        <v>123004.95999999998</v>
      </c>
      <c r="BK33" s="28">
        <v>708066.58000000042</v>
      </c>
    </row>
    <row r="34" spans="1:63" x14ac:dyDescent="0.3">
      <c r="A34" s="239">
        <v>31</v>
      </c>
      <c r="B34" s="89" t="s">
        <v>111</v>
      </c>
      <c r="C34" s="70">
        <f>VLOOKUP(B34,[3]AKSoftSalesReport!$B$2:$C$87,2,0)</f>
        <v>913127.39000000106</v>
      </c>
      <c r="D34" s="7">
        <f t="shared" si="6"/>
        <v>6.9047954966887828E-2</v>
      </c>
      <c r="E34" s="85">
        <f t="shared" si="7"/>
        <v>1232851.2359337821</v>
      </c>
      <c r="F34" s="70">
        <v>821646</v>
      </c>
      <c r="G34" s="7">
        <f t="shared" si="8"/>
        <v>6.2130406587325618E-2</v>
      </c>
      <c r="H34" s="85">
        <f t="shared" si="9"/>
        <v>1109338.409616699</v>
      </c>
      <c r="I34" s="70">
        <v>927171</v>
      </c>
      <c r="J34" s="7">
        <f t="shared" si="10"/>
        <v>7.0109890641440811E-2</v>
      </c>
      <c r="K34" s="85">
        <f t="shared" si="11"/>
        <v>1251812.0974029256</v>
      </c>
      <c r="L34" s="6">
        <v>1034804.5</v>
      </c>
      <c r="M34" s="7">
        <f t="shared" si="12"/>
        <v>7.8248813142635862E-2</v>
      </c>
      <c r="N34" s="85">
        <f t="shared" si="13"/>
        <v>1397132.5586617633</v>
      </c>
      <c r="O34" s="6">
        <v>1171844.0800000003</v>
      </c>
      <c r="P34" s="7">
        <f t="shared" si="14"/>
        <v>8.8611335231170776E-2</v>
      </c>
      <c r="Q34" s="85">
        <f t="shared" si="15"/>
        <v>1582155.3905525543</v>
      </c>
      <c r="R34" s="6">
        <v>1154251.4300000002</v>
      </c>
      <c r="S34" s="7">
        <f t="shared" si="16"/>
        <v>8.728103179459526E-2</v>
      </c>
      <c r="T34" s="85">
        <f t="shared" si="17"/>
        <v>1558402.8226924983</v>
      </c>
      <c r="U34" s="71">
        <f>VLOOKUP(B34,[9]AKSoftSalesReport!$B$2:$C$94,2,0)</f>
        <v>1270729.0899999999</v>
      </c>
      <c r="V34" s="7">
        <f t="shared" si="18"/>
        <v>9.6088723153331571E-2</v>
      </c>
      <c r="W34" s="85">
        <f t="shared" si="19"/>
        <v>1715664.1519027352</v>
      </c>
      <c r="X34" s="71">
        <f>VLOOKUP(B34,[10]AKSoftSalesReport!$B$2:$C$94,2,0)</f>
        <v>1263152.7200000004</v>
      </c>
      <c r="Y34" s="7">
        <f t="shared" si="20"/>
        <v>9.5515820773771548E-2</v>
      </c>
      <c r="Z34" s="85">
        <f t="shared" si="21"/>
        <v>1705434.9799156911</v>
      </c>
      <c r="AA34" s="71">
        <f>VLOOKUP(B34,[11]AKSoftSalesReport!$B$2:$C$94,2,0)</f>
        <v>1190941</v>
      </c>
      <c r="AB34" s="7">
        <f t="shared" si="22"/>
        <v>9.0055387054176803E-2</v>
      </c>
      <c r="AC34" s="85">
        <f t="shared" si="23"/>
        <v>1607938.9358523269</v>
      </c>
      <c r="AD34" s="51">
        <f>VLOOKUP(B34,[12]AKSoftSalesReport!$B$2:$C$89,2,0)</f>
        <v>1187709.5900000003</v>
      </c>
      <c r="AE34" s="7">
        <f t="shared" si="24"/>
        <v>8.9811037520253031E-2</v>
      </c>
      <c r="AF34" s="85">
        <f t="shared" si="25"/>
        <v>1603576.0749241179</v>
      </c>
      <c r="AG34" s="154">
        <f>VLOOKUP(B34,[13]AKSoftSalesReport!$B$2:$C$90,2,0)</f>
        <v>1062979</v>
      </c>
      <c r="AH34" s="7">
        <f t="shared" si="26"/>
        <v>8.0379284343608803E-2</v>
      </c>
      <c r="AI34" s="85">
        <f t="shared" si="27"/>
        <v>1435172.1219551351</v>
      </c>
      <c r="AJ34" s="104">
        <f>VLOOKUP(B34,[14]AKSoftSalesReport!$A:$D,4,0)</f>
        <v>1221204.9214285712</v>
      </c>
      <c r="AK34" s="7">
        <f t="shared" si="28"/>
        <v>9.2343854037870515E-2</v>
      </c>
      <c r="AL34" s="85">
        <f t="shared" si="29"/>
        <v>1648799.5138461781</v>
      </c>
      <c r="AM34" s="6">
        <f t="shared" si="4"/>
        <v>13219560.721428573</v>
      </c>
      <c r="AN34" s="101"/>
      <c r="AO34" s="73">
        <v>13224539.241428575</v>
      </c>
      <c r="AP34" s="87">
        <f t="shared" si="30"/>
        <v>17853127.975928575</v>
      </c>
      <c r="AQ34" s="237">
        <v>0.35</v>
      </c>
      <c r="AR34" s="1">
        <v>17855000</v>
      </c>
      <c r="AS34" s="240">
        <f t="shared" si="31"/>
        <v>17848278.293256409</v>
      </c>
      <c r="AT34" s="31">
        <f t="shared" si="32"/>
        <v>-6721.7067435905337</v>
      </c>
      <c r="AU34" s="28">
        <f t="shared" si="5"/>
        <v>4978.5200000014156</v>
      </c>
      <c r="AZ34" s="28">
        <v>374112</v>
      </c>
      <c r="BA34" s="28">
        <f t="shared" si="1"/>
        <v>660692.5</v>
      </c>
      <c r="BB34" s="253">
        <v>353181.5</v>
      </c>
      <c r="BC34" s="28">
        <v>1034804.5</v>
      </c>
      <c r="BD34" s="28">
        <f>VLOOKUP(B34,[20]AKSoftSalesReport!$A:$B,2,0)</f>
        <v>185643</v>
      </c>
      <c r="BE34" s="28">
        <f t="shared" si="2"/>
        <v>986201.08000000031</v>
      </c>
      <c r="BF34" s="28">
        <f>VLOOKUP(B34,[21]AKSoftSalesReport!$A:$B,2,0)</f>
        <v>181230.86000000002</v>
      </c>
      <c r="BG34" s="28">
        <v>1171844.0800000003</v>
      </c>
      <c r="BH34" s="28">
        <v>181230.86000000002</v>
      </c>
      <c r="BI34" s="28">
        <f t="shared" si="3"/>
        <v>973020.57000000018</v>
      </c>
      <c r="BJ34" s="28">
        <f>VLOOKUP(B34,[22]AKSoftSalesReport!$A:$B,2,0)</f>
        <v>180664.48000000004</v>
      </c>
      <c r="BK34" s="28">
        <v>1154251.4300000002</v>
      </c>
    </row>
    <row r="35" spans="1:63" x14ac:dyDescent="0.3">
      <c r="A35" s="61">
        <v>32</v>
      </c>
      <c r="B35" s="90" t="s">
        <v>149</v>
      </c>
      <c r="C35" s="70">
        <f>VLOOKUP(B35,[3]AKSoftSalesReport!$B$2:$C$87,2,0)</f>
        <v>1091943.8100000042</v>
      </c>
      <c r="D35" s="7">
        <f t="shared" si="6"/>
        <v>8.2491247473512816E-2</v>
      </c>
      <c r="E35" s="85">
        <f t="shared" si="7"/>
        <v>1474118.5923516741</v>
      </c>
      <c r="F35" s="70">
        <v>825031.8200000003</v>
      </c>
      <c r="G35" s="7">
        <f t="shared" si="8"/>
        <v>6.2327295062135517E-2</v>
      </c>
      <c r="H35" s="85">
        <f t="shared" si="9"/>
        <v>1113788.7627603617</v>
      </c>
      <c r="I35" s="70">
        <v>878400</v>
      </c>
      <c r="J35" s="7">
        <f t="shared" si="10"/>
        <v>6.6359011441013055E-2</v>
      </c>
      <c r="K35" s="85">
        <f t="shared" si="11"/>
        <v>1185835.5344509033</v>
      </c>
      <c r="L35" s="6">
        <v>1072750</v>
      </c>
      <c r="M35" s="7">
        <f t="shared" si="12"/>
        <v>8.1041244903627907E-2</v>
      </c>
      <c r="N35" s="85">
        <f t="shared" si="13"/>
        <v>1448207.0464278306</v>
      </c>
      <c r="O35" s="6">
        <v>1139074.8700000017</v>
      </c>
      <c r="P35" s="7">
        <f t="shared" si="14"/>
        <v>8.6051778609404106E-2</v>
      </c>
      <c r="Q35" s="85">
        <f t="shared" si="15"/>
        <v>1537745.2837500514</v>
      </c>
      <c r="R35" s="6">
        <v>1115620.1400000001</v>
      </c>
      <c r="S35" s="7">
        <f t="shared" si="16"/>
        <v>8.4279883463211053E-2</v>
      </c>
      <c r="T35" s="85">
        <f t="shared" si="17"/>
        <v>1506081.5174875816</v>
      </c>
      <c r="U35" s="71">
        <f>VLOOKUP(B35,[9]AKSoftSalesReport!$B$2:$C$94,2,0)</f>
        <v>1188348.2500000007</v>
      </c>
      <c r="V35" s="7">
        <f t="shared" si="18"/>
        <v>8.9774152000976645E-2</v>
      </c>
      <c r="W35" s="85">
        <f t="shared" si="19"/>
        <v>1604264.0962574526</v>
      </c>
      <c r="X35" s="71">
        <f>VLOOKUP(B35,[10]AKSoftSalesReport!$B$2:$C$94,2,0)</f>
        <v>1217490</v>
      </c>
      <c r="Y35" s="7">
        <f t="shared" si="20"/>
        <v>9.1975674908150021E-2</v>
      </c>
      <c r="Z35" s="85">
        <f t="shared" si="21"/>
        <v>1643605.3106086408</v>
      </c>
      <c r="AA35" s="71">
        <f>VLOOKUP(B35,[11]AKSoftSalesReport!$B$2:$C$94,2,0)</f>
        <v>1191956</v>
      </c>
      <c r="AB35" s="7">
        <f t="shared" si="22"/>
        <v>9.0046700638870839E-2</v>
      </c>
      <c r="AC35" s="85">
        <f t="shared" si="23"/>
        <v>1609134.5404166218</v>
      </c>
      <c r="AD35" s="51">
        <f>VLOOKUP(B35,[12]AKSoftSalesReport!$B$2:$C$89,2,0)</f>
        <v>1247353.1000000001</v>
      </c>
      <c r="AE35" s="7">
        <f t="shared" si="24"/>
        <v>9.4231692433837777E-2</v>
      </c>
      <c r="AF35" s="85">
        <f t="shared" si="25"/>
        <v>1683920.3437926811</v>
      </c>
      <c r="AG35" s="154">
        <f>VLOOKUP(B35,[13]AKSoftSalesReport!$B$2:$C$90,2,0)</f>
        <v>1150327</v>
      </c>
      <c r="AH35" s="7">
        <f t="shared" si="26"/>
        <v>8.6901824401077202E-2</v>
      </c>
      <c r="AI35" s="85">
        <f t="shared" si="27"/>
        <v>1552935.6020472497</v>
      </c>
      <c r="AJ35" s="104">
        <f>VLOOKUP(B35,[14]AKSoftSalesReport!$A:$D,4,0)</f>
        <v>1123984.7142857143</v>
      </c>
      <c r="AK35" s="7">
        <f t="shared" si="28"/>
        <v>8.4911787926695695E-2</v>
      </c>
      <c r="AL35" s="85">
        <f t="shared" si="29"/>
        <v>1517373.6502500521</v>
      </c>
      <c r="AM35" s="6">
        <f t="shared" si="4"/>
        <v>13242279.70428572</v>
      </c>
      <c r="AN35" s="104"/>
      <c r="AO35" s="73">
        <v>13237086.884285722</v>
      </c>
      <c r="AP35" s="87">
        <f t="shared" si="30"/>
        <v>17870067.293785725</v>
      </c>
      <c r="AQ35" s="237">
        <v>0.35</v>
      </c>
      <c r="AR35" s="1">
        <v>17870000</v>
      </c>
      <c r="AS35" s="240">
        <f t="shared" si="31"/>
        <v>17877010.280601099</v>
      </c>
      <c r="AT35" s="31">
        <f t="shared" si="32"/>
        <v>7010.2806010991335</v>
      </c>
      <c r="AU35" s="28">
        <f t="shared" si="5"/>
        <v>-5192.8199999984354</v>
      </c>
      <c r="AZ35" s="28">
        <v>355110</v>
      </c>
      <c r="BA35" s="28">
        <f t="shared" si="1"/>
        <v>717640</v>
      </c>
      <c r="BB35" s="253">
        <v>387273</v>
      </c>
      <c r="BC35" s="28">
        <v>1072750</v>
      </c>
      <c r="BD35" s="28">
        <f>VLOOKUP(B35,[20]AKSoftSalesReport!$A:$B,2,0)</f>
        <v>182274.18000000002</v>
      </c>
      <c r="BE35" s="28">
        <f t="shared" si="2"/>
        <v>956800.69000000169</v>
      </c>
      <c r="BF35" s="28">
        <f>VLOOKUP(B35,[21]AKSoftSalesReport!$A:$B,2,0)</f>
        <v>163701.75999999992</v>
      </c>
      <c r="BG35" s="28">
        <v>1139074.8700000017</v>
      </c>
      <c r="BH35" s="28">
        <v>163701.75999999992</v>
      </c>
      <c r="BI35" s="28">
        <f t="shared" si="3"/>
        <v>951918.38000000024</v>
      </c>
      <c r="BJ35" s="28">
        <f>VLOOKUP(B35,[22]AKSoftSalesReport!$A:$B,2,0)</f>
        <v>187467</v>
      </c>
      <c r="BK35" s="28">
        <v>1115620.1400000001</v>
      </c>
    </row>
    <row r="36" spans="1:63" x14ac:dyDescent="0.3">
      <c r="A36" s="239">
        <v>33</v>
      </c>
      <c r="B36" s="89" t="s">
        <v>80</v>
      </c>
      <c r="C36" s="70">
        <f>VLOOKUP(B36,[3]AKSoftSalesReport!$B$2:$C$87,2,0)</f>
        <v>576504.72000000114</v>
      </c>
      <c r="D36" s="7">
        <f t="shared" si="6"/>
        <v>7.7446706869652729E-2</v>
      </c>
      <c r="E36" s="85">
        <f t="shared" si="7"/>
        <v>680369.31984989927</v>
      </c>
      <c r="F36" s="70">
        <v>505265</v>
      </c>
      <c r="G36" s="7">
        <f t="shared" si="8"/>
        <v>6.7876478698205636E-2</v>
      </c>
      <c r="H36" s="85">
        <f t="shared" si="9"/>
        <v>596294.86536373652</v>
      </c>
      <c r="I36" s="70">
        <v>579501</v>
      </c>
      <c r="J36" s="7">
        <f t="shared" si="10"/>
        <v>7.7849222253844746E-2</v>
      </c>
      <c r="K36" s="85">
        <f t="shared" si="11"/>
        <v>683905.41750002606</v>
      </c>
      <c r="L36" s="6">
        <v>588441</v>
      </c>
      <c r="M36" s="7">
        <f t="shared" si="12"/>
        <v>7.9050207320219737E-2</v>
      </c>
      <c r="N36" s="85">
        <f t="shared" si="13"/>
        <v>694456.0713081304</v>
      </c>
      <c r="O36" s="6">
        <v>645828.55000000121</v>
      </c>
      <c r="P36" s="7">
        <f t="shared" si="14"/>
        <v>8.6759557493133535E-2</v>
      </c>
      <c r="Q36" s="85">
        <f t="shared" si="15"/>
        <v>762182.71257717814</v>
      </c>
      <c r="R36" s="6">
        <v>642323.00000000326</v>
      </c>
      <c r="S36" s="7">
        <f t="shared" si="16"/>
        <v>8.6288627605054305E-2</v>
      </c>
      <c r="T36" s="85">
        <f t="shared" si="17"/>
        <v>758045.59351040202</v>
      </c>
      <c r="U36" s="71">
        <f>VLOOKUP(B36,[9]AKSoftSalesReport!$B$2:$C$94,2,0)</f>
        <v>617417.98000000045</v>
      </c>
      <c r="V36" s="7">
        <f t="shared" si="18"/>
        <v>8.2942927705974459E-2</v>
      </c>
      <c r="W36" s="85">
        <f t="shared" si="19"/>
        <v>728653.61989698559</v>
      </c>
      <c r="X36" s="71">
        <f>VLOOKUP(B36,[10]AKSoftSalesReport!$B$2:$C$94,2,0)</f>
        <v>654503.06000000006</v>
      </c>
      <c r="Y36" s="7">
        <f t="shared" si="20"/>
        <v>8.792487706451152E-2</v>
      </c>
      <c r="Z36" s="85">
        <f t="shared" si="21"/>
        <v>772420.04501173366</v>
      </c>
      <c r="AA36" s="71">
        <f>VLOOKUP(B36,[11]AKSoftSalesReport!$B$2:$C$94,2,0)</f>
        <v>620271.30000000028</v>
      </c>
      <c r="AB36" s="7">
        <f t="shared" si="22"/>
        <v>8.3326238076174564E-2</v>
      </c>
      <c r="AC36" s="85">
        <f t="shared" si="23"/>
        <v>732021.00149919349</v>
      </c>
      <c r="AD36" s="51">
        <f>VLOOKUP(B36,[12]AKSoftSalesReport!$B$2:$C$89,2,0)</f>
        <v>696890.98000000056</v>
      </c>
      <c r="AE36" s="7">
        <f t="shared" si="24"/>
        <v>9.3619201327900581E-2</v>
      </c>
      <c r="AF36" s="85">
        <f t="shared" si="25"/>
        <v>822444.68366560666</v>
      </c>
      <c r="AG36" s="154">
        <f>VLOOKUP(B36,[13]AKSoftSalesReport!$B$2:$C$90,2,0)</f>
        <v>667090</v>
      </c>
      <c r="AH36" s="7">
        <f t="shared" si="26"/>
        <v>8.9615786121710381E-2</v>
      </c>
      <c r="AI36" s="85">
        <f t="shared" si="27"/>
        <v>787274.68107922573</v>
      </c>
      <c r="AJ36" s="104">
        <f>VLOOKUP(B36,[14]AKSoftSalesReport!$A:$D,4,0)</f>
        <v>643180.5157142859</v>
      </c>
      <c r="AK36" s="7">
        <f t="shared" si="28"/>
        <v>8.6403824872060483E-2</v>
      </c>
      <c r="AL36" s="85">
        <f t="shared" si="29"/>
        <v>759057.60150105134</v>
      </c>
      <c r="AM36" s="6">
        <f t="shared" si="4"/>
        <v>7437217.1057142913</v>
      </c>
      <c r="AN36" s="155"/>
      <c r="AO36" s="73">
        <v>7443889.3957142923</v>
      </c>
      <c r="AP36" s="87">
        <f t="shared" si="30"/>
        <v>8783789.486942865</v>
      </c>
      <c r="AQ36" s="237">
        <v>0.18</v>
      </c>
      <c r="AR36" s="3">
        <v>8785000</v>
      </c>
      <c r="AS36" s="240">
        <f t="shared" si="31"/>
        <v>8777125.6127631683</v>
      </c>
      <c r="AT36" s="31">
        <f t="shared" si="32"/>
        <v>-7874.3872368317097</v>
      </c>
      <c r="AU36" s="28">
        <f t="shared" si="5"/>
        <v>6672.2900000009686</v>
      </c>
      <c r="AZ36" s="28">
        <v>160471</v>
      </c>
      <c r="BA36" s="28">
        <f t="shared" ref="BA36:BA67" si="33">L36-AZ36</f>
        <v>427970</v>
      </c>
      <c r="BB36" s="253">
        <v>181155</v>
      </c>
      <c r="BC36" s="28">
        <v>588441</v>
      </c>
      <c r="BD36" s="28">
        <f>VLOOKUP(B36,[20]AKSoftSalesReport!$A:$B,2,0)</f>
        <v>120255.31999999998</v>
      </c>
      <c r="BE36" s="28">
        <f t="shared" ref="BE36:BE67" si="34">O36-BD36</f>
        <v>525573.23000000126</v>
      </c>
      <c r="BF36" s="28">
        <f>VLOOKUP(B36,[21]AKSoftSalesReport!$A:$B,2,0)</f>
        <v>101328.52999999996</v>
      </c>
      <c r="BG36" s="28">
        <v>645828.55000000121</v>
      </c>
      <c r="BH36" s="28">
        <v>101328.52999999996</v>
      </c>
      <c r="BI36" s="28">
        <f t="shared" ref="BI36:BI67" si="35">R36-BH36</f>
        <v>540994.47000000335</v>
      </c>
      <c r="BJ36" s="28">
        <f>VLOOKUP(B36,[22]AKSoftSalesReport!$A:$B,2,0)</f>
        <v>113583.02999999996</v>
      </c>
      <c r="BK36" s="28">
        <v>642323.00000000326</v>
      </c>
    </row>
    <row r="37" spans="1:63" x14ac:dyDescent="0.3">
      <c r="A37" s="61">
        <v>34</v>
      </c>
      <c r="B37" s="90" t="s">
        <v>81</v>
      </c>
      <c r="C37" s="70">
        <f>VLOOKUP(B37,[3]AKSoftSalesReport!$B$2:$C$87,2,0)</f>
        <v>751031.87000000023</v>
      </c>
      <c r="D37" s="7">
        <f t="shared" si="6"/>
        <v>8.2395825070215672E-2</v>
      </c>
      <c r="E37" s="85">
        <f t="shared" si="7"/>
        <v>863508.24673586024</v>
      </c>
      <c r="F37" s="70">
        <v>647444.30000000005</v>
      </c>
      <c r="G37" s="7">
        <f t="shared" si="8"/>
        <v>7.1031216405647635E-2</v>
      </c>
      <c r="H37" s="85">
        <f t="shared" si="9"/>
        <v>744407.14793118718</v>
      </c>
      <c r="I37" s="70">
        <v>670059.10000000009</v>
      </c>
      <c r="J37" s="7">
        <f t="shared" si="10"/>
        <v>7.3512289685264812E-2</v>
      </c>
      <c r="K37" s="85">
        <f t="shared" si="11"/>
        <v>770408.79590157524</v>
      </c>
      <c r="L37" s="6">
        <v>776701.98</v>
      </c>
      <c r="M37" s="7">
        <f t="shared" si="12"/>
        <v>8.5212096892466269E-2</v>
      </c>
      <c r="N37" s="85">
        <f t="shared" si="13"/>
        <v>893022.77543304651</v>
      </c>
      <c r="O37" s="6">
        <v>747337</v>
      </c>
      <c r="P37" s="7">
        <f t="shared" si="14"/>
        <v>8.1990460298974735E-2</v>
      </c>
      <c r="Q37" s="85">
        <f t="shared" si="15"/>
        <v>859260.02393325523</v>
      </c>
      <c r="R37" s="6">
        <v>791759</v>
      </c>
      <c r="S37" s="7">
        <f t="shared" si="16"/>
        <v>8.6864004934662592E-2</v>
      </c>
      <c r="T37" s="85">
        <f t="shared" si="17"/>
        <v>910334.77171526395</v>
      </c>
      <c r="U37" s="71">
        <f>VLOOKUP(B37,[9]AKSoftSalesReport!$B$2:$C$94,2,0)</f>
        <v>676161</v>
      </c>
      <c r="V37" s="7">
        <f t="shared" si="18"/>
        <v>7.4181730097954549E-2</v>
      </c>
      <c r="W37" s="85">
        <f t="shared" si="19"/>
        <v>777424.53142656363</v>
      </c>
      <c r="X37" s="71">
        <f>VLOOKUP(B37,[10]AKSoftSalesReport!$B$2:$C$94,2,0)</f>
        <v>714546</v>
      </c>
      <c r="Y37" s="7">
        <f t="shared" si="20"/>
        <v>7.8392954510202492E-2</v>
      </c>
      <c r="Z37" s="85">
        <f t="shared" si="21"/>
        <v>821558.16326692211</v>
      </c>
      <c r="AA37" s="71">
        <f>VLOOKUP(B37,[11]AKSoftSalesReport!$B$2:$C$94,2,0)</f>
        <v>778489.54000000027</v>
      </c>
      <c r="AB37" s="7">
        <f t="shared" si="22"/>
        <v>8.5408210382380542E-2</v>
      </c>
      <c r="AC37" s="85">
        <f t="shared" si="23"/>
        <v>895078.04480734805</v>
      </c>
      <c r="AD37" s="51">
        <f>VLOOKUP(B37,[12]AKSoftSalesReport!$B$2:$C$89,2,0)</f>
        <v>872014.26000000117</v>
      </c>
      <c r="AE37" s="7">
        <f t="shared" si="24"/>
        <v>9.5668822184195243E-2</v>
      </c>
      <c r="AF37" s="85">
        <f t="shared" si="25"/>
        <v>1002609.2564903662</v>
      </c>
      <c r="AG37" s="154">
        <f>VLOOKUP(B37,[13]AKSoftSalesReport!$B$2:$C$90,2,0)</f>
        <v>809788</v>
      </c>
      <c r="AH37" s="7">
        <f t="shared" si="26"/>
        <v>8.8841969372031829E-2</v>
      </c>
      <c r="AI37" s="85">
        <f t="shared" si="27"/>
        <v>931063.83901889354</v>
      </c>
      <c r="AJ37" s="104">
        <f>VLOOKUP(B37,[14]AKSoftSalesReport!$A:$D,4,0)</f>
        <v>884680.2142857142</v>
      </c>
      <c r="AK37" s="7">
        <f t="shared" si="28"/>
        <v>9.7058406029249603E-2</v>
      </c>
      <c r="AL37" s="85">
        <f t="shared" si="29"/>
        <v>1017172.0951865359</v>
      </c>
      <c r="AM37" s="6">
        <f t="shared" si="4"/>
        <v>9120012.2642857153</v>
      </c>
      <c r="AN37" s="155"/>
      <c r="AO37" s="73">
        <v>9114926.2642857153</v>
      </c>
      <c r="AP37" s="87">
        <f t="shared" si="30"/>
        <v>10482165.203928573</v>
      </c>
      <c r="AQ37" s="237">
        <v>0.15</v>
      </c>
      <c r="AR37" s="3">
        <v>10480000</v>
      </c>
      <c r="AS37" s="240">
        <f t="shared" si="31"/>
        <v>10485847.691846818</v>
      </c>
      <c r="AT37" s="31">
        <f t="shared" si="32"/>
        <v>5847.6918468177319</v>
      </c>
      <c r="AU37" s="28">
        <f t="shared" si="5"/>
        <v>-5086</v>
      </c>
      <c r="AZ37" s="28">
        <v>215238</v>
      </c>
      <c r="BA37" s="28">
        <f t="shared" si="33"/>
        <v>561463.98</v>
      </c>
      <c r="BB37" s="253">
        <v>272823.98</v>
      </c>
      <c r="BC37" s="28">
        <v>776701.98</v>
      </c>
      <c r="BD37" s="28">
        <f>VLOOKUP(B37,[20]AKSoftSalesReport!$A:$B,2,0)</f>
        <v>132729</v>
      </c>
      <c r="BE37" s="28">
        <f t="shared" si="34"/>
        <v>614608</v>
      </c>
      <c r="BF37" s="28">
        <f>VLOOKUP(B37,[21]AKSoftSalesReport!$A:$B,2,0)</f>
        <v>100276</v>
      </c>
      <c r="BG37" s="28">
        <v>747337</v>
      </c>
      <c r="BH37" s="28">
        <v>100276</v>
      </c>
      <c r="BI37" s="28">
        <f t="shared" si="35"/>
        <v>691483</v>
      </c>
      <c r="BJ37" s="28">
        <f>VLOOKUP(B37,[22]AKSoftSalesReport!$A:$B,2,0)</f>
        <v>137815</v>
      </c>
      <c r="BK37" s="28">
        <v>791759</v>
      </c>
    </row>
    <row r="38" spans="1:63" x14ac:dyDescent="0.3">
      <c r="A38" s="239">
        <v>35</v>
      </c>
      <c r="B38" s="89" t="s">
        <v>82</v>
      </c>
      <c r="C38" s="70">
        <f>VLOOKUP(B38,[3]AKSoftSalesReport!$B$2:$C$87,2,0)</f>
        <v>839530.36000000127</v>
      </c>
      <c r="D38" s="7">
        <f t="shared" si="6"/>
        <v>8.0852829197205128E-2</v>
      </c>
      <c r="E38" s="85">
        <f t="shared" si="7"/>
        <v>990447.15766576282</v>
      </c>
      <c r="F38" s="70">
        <v>684409</v>
      </c>
      <c r="G38" s="7">
        <f t="shared" si="8"/>
        <v>6.5913523339441685E-2</v>
      </c>
      <c r="H38" s="85">
        <f t="shared" si="9"/>
        <v>807440.66090816061</v>
      </c>
      <c r="I38" s="70">
        <v>639562</v>
      </c>
      <c r="J38" s="7">
        <f t="shared" si="10"/>
        <v>6.1594433758205988E-2</v>
      </c>
      <c r="K38" s="85">
        <f t="shared" si="11"/>
        <v>754531.81353802339</v>
      </c>
      <c r="L38" s="6">
        <v>747653.60000000009</v>
      </c>
      <c r="M38" s="7">
        <f t="shared" si="12"/>
        <v>7.2004434502494274E-2</v>
      </c>
      <c r="N38" s="85">
        <f t="shared" si="13"/>
        <v>882054.32265555486</v>
      </c>
      <c r="O38" s="6">
        <v>858790.33000000077</v>
      </c>
      <c r="P38" s="7">
        <f t="shared" si="14"/>
        <v>8.2707703230293403E-2</v>
      </c>
      <c r="Q38" s="85">
        <f t="shared" si="15"/>
        <v>1013169.3645710942</v>
      </c>
      <c r="R38" s="6">
        <v>980672.78000000108</v>
      </c>
      <c r="S38" s="7">
        <f t="shared" si="16"/>
        <v>9.4445862302928854E-2</v>
      </c>
      <c r="T38" s="85">
        <f t="shared" si="17"/>
        <v>1156961.8132108785</v>
      </c>
      <c r="U38" s="71">
        <f>VLOOKUP(B38,[9]AKSoftSalesReport!$B$2:$C$94,2,0)</f>
        <v>1006557.08</v>
      </c>
      <c r="V38" s="7">
        <f t="shared" si="18"/>
        <v>9.6938707096283466E-2</v>
      </c>
      <c r="W38" s="85">
        <f t="shared" si="19"/>
        <v>1187499.1619294723</v>
      </c>
      <c r="X38" s="71">
        <f>VLOOKUP(B38,[10]AKSoftSalesReport!$B$2:$C$94,2,0)</f>
        <v>926278</v>
      </c>
      <c r="Y38" s="7">
        <f t="shared" si="20"/>
        <v>8.920725263959324E-2</v>
      </c>
      <c r="Z38" s="85">
        <f t="shared" si="21"/>
        <v>1092788.8448350171</v>
      </c>
      <c r="AA38" s="71">
        <f>VLOOKUP(B38,[11]AKSoftSalesReport!$B$2:$C$94,2,0)</f>
        <v>964389.35999999987</v>
      </c>
      <c r="AB38" s="7">
        <f t="shared" si="22"/>
        <v>9.2877651504683925E-2</v>
      </c>
      <c r="AC38" s="85">
        <f t="shared" si="23"/>
        <v>1137751.230932378</v>
      </c>
      <c r="AD38" s="51">
        <f>VLOOKUP(B38,[12]AKSoftSalesReport!$B$2:$C$89,2,0)</f>
        <v>977899.21000000299</v>
      </c>
      <c r="AE38" s="7">
        <f t="shared" si="24"/>
        <v>9.4178747506179467E-2</v>
      </c>
      <c r="AF38" s="85">
        <f t="shared" si="25"/>
        <v>1153689.6569506985</v>
      </c>
      <c r="AG38" s="154">
        <f>VLOOKUP(B38,[13]AKSoftSalesReport!$B$2:$C$90,2,0)</f>
        <v>860439</v>
      </c>
      <c r="AH38" s="7">
        <f t="shared" si="26"/>
        <v>8.2866482043143591E-2</v>
      </c>
      <c r="AI38" s="85">
        <f t="shared" si="27"/>
        <v>1015114.405028509</v>
      </c>
      <c r="AJ38" s="104">
        <f>VLOOKUP(B38,[14]AKSoftSalesReport!$A:$D,4,0)</f>
        <v>896628.89857142884</v>
      </c>
      <c r="AK38" s="7">
        <f t="shared" si="28"/>
        <v>8.635183031316912E-2</v>
      </c>
      <c r="AL38" s="85">
        <f t="shared" si="29"/>
        <v>1057809.9213363216</v>
      </c>
      <c r="AM38" s="6">
        <f t="shared" si="4"/>
        <v>10382809.618571436</v>
      </c>
      <c r="AN38" s="155"/>
      <c r="AO38" s="73">
        <v>10383438.258571435</v>
      </c>
      <c r="AP38" s="87">
        <f t="shared" si="30"/>
        <v>12252457.145114293</v>
      </c>
      <c r="AQ38" s="237">
        <v>0.18</v>
      </c>
      <c r="AR38" s="3">
        <v>12250000</v>
      </c>
      <c r="AS38" s="240">
        <f t="shared" si="31"/>
        <v>12249258.353561871</v>
      </c>
      <c r="AT38" s="31">
        <f t="shared" si="32"/>
        <v>-741.64643812924623</v>
      </c>
      <c r="AU38" s="28">
        <f t="shared" si="5"/>
        <v>628.6399999987334</v>
      </c>
      <c r="AZ38" s="28">
        <v>219108</v>
      </c>
      <c r="BA38" s="28">
        <f t="shared" si="33"/>
        <v>528545.60000000009</v>
      </c>
      <c r="BB38" s="253">
        <v>246229.5</v>
      </c>
      <c r="BC38" s="28">
        <v>747653.60000000009</v>
      </c>
      <c r="BD38" s="28">
        <f>VLOOKUP(B38,[20]AKSoftSalesReport!$A:$B,2,0)</f>
        <v>169651.12000000002</v>
      </c>
      <c r="BE38" s="28">
        <f t="shared" si="34"/>
        <v>689139.21000000078</v>
      </c>
      <c r="BF38" s="28">
        <f>VLOOKUP(B38,[21]AKSoftSalesReport!$A:$B,2,0)</f>
        <v>112459.33999999995</v>
      </c>
      <c r="BG38" s="28">
        <v>858790.33000000077</v>
      </c>
      <c r="BH38" s="28">
        <v>112459.33999999995</v>
      </c>
      <c r="BI38" s="28">
        <f t="shared" si="35"/>
        <v>868213.44000000111</v>
      </c>
      <c r="BJ38" s="28">
        <f>VLOOKUP(B38,[22]AKSoftSalesReport!$A:$B,2,0)</f>
        <v>169022.47999999995</v>
      </c>
      <c r="BK38" s="28">
        <v>980672.78000000108</v>
      </c>
    </row>
    <row r="39" spans="1:63" x14ac:dyDescent="0.3">
      <c r="A39" s="61">
        <v>36</v>
      </c>
      <c r="B39" s="90" t="s">
        <v>83</v>
      </c>
      <c r="C39" s="70">
        <f>VLOOKUP(B39,[3]AKSoftSalesReport!$B$2:$C$87,2,0)</f>
        <v>490930.8600000001</v>
      </c>
      <c r="D39" s="7">
        <f t="shared" si="6"/>
        <v>7.7241100398095494E-2</v>
      </c>
      <c r="E39" s="85">
        <f t="shared" si="7"/>
        <v>588963.39053547813</v>
      </c>
      <c r="F39" s="70">
        <v>425174.22</v>
      </c>
      <c r="G39" s="7">
        <f t="shared" si="8"/>
        <v>6.6895213337580639E-2</v>
      </c>
      <c r="H39" s="85">
        <f t="shared" si="9"/>
        <v>510076.00169905234</v>
      </c>
      <c r="I39" s="70">
        <v>415005</v>
      </c>
      <c r="J39" s="7">
        <f t="shared" si="10"/>
        <v>6.5295228885614592E-2</v>
      </c>
      <c r="K39" s="85">
        <f t="shared" si="11"/>
        <v>497876.12025281129</v>
      </c>
      <c r="L39" s="6">
        <v>577658.53</v>
      </c>
      <c r="M39" s="7">
        <f t="shared" si="12"/>
        <v>9.0886485546144424E-2</v>
      </c>
      <c r="N39" s="85">
        <f t="shared" si="13"/>
        <v>693009.45228935126</v>
      </c>
      <c r="O39" s="6">
        <v>540753.69000000018</v>
      </c>
      <c r="P39" s="7">
        <f t="shared" si="14"/>
        <v>8.5080025443767401E-2</v>
      </c>
      <c r="Q39" s="85">
        <f t="shared" si="15"/>
        <v>648735.19400872639</v>
      </c>
      <c r="R39" s="6">
        <v>577157.01000000082</v>
      </c>
      <c r="S39" s="7">
        <f t="shared" si="16"/>
        <v>9.0807578392759145E-2</v>
      </c>
      <c r="T39" s="85">
        <f t="shared" si="17"/>
        <v>692407.78524478851</v>
      </c>
      <c r="U39" s="71">
        <f>VLOOKUP(B39,[9]AKSoftSalesReport!$B$2:$C$94,2,0)</f>
        <v>611334.64000000025</v>
      </c>
      <c r="V39" s="7">
        <f t="shared" si="18"/>
        <v>9.6184950168081873E-2</v>
      </c>
      <c r="W39" s="85">
        <f t="shared" si="19"/>
        <v>733410.24503162433</v>
      </c>
      <c r="X39" s="71">
        <f>VLOOKUP(B39,[10]AKSoftSalesReport!$B$2:$C$94,2,0)</f>
        <v>568798.13000000012</v>
      </c>
      <c r="Y39" s="7">
        <f t="shared" si="20"/>
        <v>8.9492425604654341E-2</v>
      </c>
      <c r="Z39" s="85">
        <f t="shared" si="21"/>
        <v>682379.74523548933</v>
      </c>
      <c r="AA39" s="71">
        <f>VLOOKUP(B39,[11]AKSoftSalesReport!$B$2:$C$94,2,0)</f>
        <v>538113.4</v>
      </c>
      <c r="AB39" s="7">
        <f t="shared" si="22"/>
        <v>8.4664612762295116E-2</v>
      </c>
      <c r="AC39" s="85">
        <f t="shared" si="23"/>
        <v>645567.6723125003</v>
      </c>
      <c r="AD39" s="51">
        <f>VLOOKUP(B39,[12]AKSoftSalesReport!$B$2:$C$89,2,0)</f>
        <v>594696.1800000011</v>
      </c>
      <c r="AE39" s="7">
        <f t="shared" si="24"/>
        <v>9.3567121337094078E-2</v>
      </c>
      <c r="AF39" s="85">
        <f t="shared" si="25"/>
        <v>713449.3001953424</v>
      </c>
      <c r="AG39" s="154">
        <f>VLOOKUP(B39,[13]AKSoftSalesReport!$B$2:$C$90,2,0)</f>
        <v>530552</v>
      </c>
      <c r="AH39" s="7">
        <f t="shared" si="26"/>
        <v>8.347493229170877E-2</v>
      </c>
      <c r="AI39" s="85">
        <f t="shared" si="27"/>
        <v>636496.35872427933</v>
      </c>
      <c r="AJ39" s="104">
        <f>VLOOKUP(B39,[14]AKSoftSalesReport!$A:$D,4,0)</f>
        <v>503787.6428571429</v>
      </c>
      <c r="AK39" s="7">
        <f t="shared" si="28"/>
        <v>7.926393525403648E-2</v>
      </c>
      <c r="AL39" s="85">
        <f t="shared" si="29"/>
        <v>604387.50631202816</v>
      </c>
      <c r="AM39" s="6">
        <f t="shared" si="4"/>
        <v>6373961.3028571457</v>
      </c>
      <c r="AN39" s="155"/>
      <c r="AO39" s="103">
        <v>6355824.2628571456</v>
      </c>
      <c r="AP39" s="87">
        <f t="shared" si="30"/>
        <v>7626989.1154285744</v>
      </c>
      <c r="AQ39" s="237">
        <v>0.2</v>
      </c>
      <c r="AR39" s="3">
        <v>7625000</v>
      </c>
      <c r="AS39" s="240">
        <f t="shared" si="31"/>
        <v>7646758.7718414729</v>
      </c>
      <c r="AT39" s="31">
        <f t="shared" si="32"/>
        <v>21758.771841472946</v>
      </c>
      <c r="AU39" s="28">
        <f t="shared" si="5"/>
        <v>-18137.040000000037</v>
      </c>
      <c r="AZ39" s="28">
        <v>156432</v>
      </c>
      <c r="BA39" s="28">
        <f t="shared" si="33"/>
        <v>421226.53</v>
      </c>
      <c r="BB39" s="253">
        <v>212099.5</v>
      </c>
      <c r="BC39" s="28">
        <v>577658.53</v>
      </c>
      <c r="BD39" s="28">
        <f>VLOOKUP(B39,[20]AKSoftSalesReport!$A:$B,2,0)</f>
        <v>84294.2</v>
      </c>
      <c r="BE39" s="28">
        <f t="shared" si="34"/>
        <v>456459.49000000017</v>
      </c>
      <c r="BF39" s="28">
        <f>VLOOKUP(B39,[21]AKSoftSalesReport!$A:$B,2,0)</f>
        <v>62083.63</v>
      </c>
      <c r="BG39" s="28">
        <v>540753.69000000018</v>
      </c>
      <c r="BH39" s="28">
        <v>62083.63</v>
      </c>
      <c r="BI39" s="28">
        <f t="shared" si="35"/>
        <v>515073.38000000082</v>
      </c>
      <c r="BJ39" s="28">
        <f>VLOOKUP(B39,[22]AKSoftSalesReport!$A:$B,2,0)</f>
        <v>102431.23999999998</v>
      </c>
      <c r="BK39" s="28">
        <v>577157.01000000082</v>
      </c>
    </row>
    <row r="40" spans="1:63" x14ac:dyDescent="0.3">
      <c r="A40" s="239">
        <v>37</v>
      </c>
      <c r="B40" s="89" t="s">
        <v>84</v>
      </c>
      <c r="C40" s="70">
        <f>VLOOKUP(B40,[3]AKSoftSalesReport!$B$2:$C$87,2,0)</f>
        <v>399122.12000000034</v>
      </c>
      <c r="D40" s="7">
        <f t="shared" si="6"/>
        <v>8.805139192930761E-2</v>
      </c>
      <c r="E40" s="85">
        <v>600000</v>
      </c>
      <c r="F40" s="70">
        <v>298050.5</v>
      </c>
      <c r="G40" s="7">
        <f t="shared" si="8"/>
        <v>6.5753713149815082E-2</v>
      </c>
      <c r="H40" s="85">
        <v>450000</v>
      </c>
      <c r="I40" s="70">
        <v>349082</v>
      </c>
      <c r="J40" s="7">
        <f t="shared" si="10"/>
        <v>7.701190802821585E-2</v>
      </c>
      <c r="K40" s="85">
        <v>530000</v>
      </c>
      <c r="L40" s="6">
        <v>300224.16000000009</v>
      </c>
      <c r="M40" s="7">
        <f t="shared" si="12"/>
        <v>6.6233250060926563E-2</v>
      </c>
      <c r="N40" s="85">
        <v>450000</v>
      </c>
      <c r="O40" s="6">
        <v>446948.92000000004</v>
      </c>
      <c r="P40" s="7">
        <f t="shared" si="14"/>
        <v>9.8602589421254633E-2</v>
      </c>
      <c r="Q40" s="85">
        <v>670000</v>
      </c>
      <c r="R40" s="6">
        <v>422618.31000000006</v>
      </c>
      <c r="S40" s="7">
        <f t="shared" si="16"/>
        <v>9.3234948868059705E-2</v>
      </c>
      <c r="T40" s="85">
        <v>630000</v>
      </c>
      <c r="U40" s="71">
        <f>VLOOKUP(B40,[9]AKSoftSalesReport!$B$2:$C$94,2,0)</f>
        <v>393452.52</v>
      </c>
      <c r="V40" s="7">
        <f t="shared" si="18"/>
        <v>8.6800606401102778E-2</v>
      </c>
      <c r="W40" s="85">
        <v>590000</v>
      </c>
      <c r="X40" s="71">
        <f>VLOOKUP(B40,[10]AKSoftSalesReport!$B$2:$C$94,2,0)</f>
        <v>378625.02</v>
      </c>
      <c r="Y40" s="7">
        <f t="shared" si="20"/>
        <v>8.3529472208310335E-2</v>
      </c>
      <c r="Z40" s="85">
        <v>570000</v>
      </c>
      <c r="AA40" s="71">
        <f>VLOOKUP(B40,[11]AKSoftSalesReport!$B$2:$C$94,2,0)</f>
        <v>402755.01</v>
      </c>
      <c r="AB40" s="7">
        <f t="shared" si="22"/>
        <v>8.8852853449972083E-2</v>
      </c>
      <c r="AC40" s="85">
        <v>600000</v>
      </c>
      <c r="AD40" s="51">
        <f>VLOOKUP(B40,[12]AKSoftSalesReport!$B$2:$C$89,2,0)</f>
        <v>392234.26000000013</v>
      </c>
      <c r="AE40" s="7">
        <f t="shared" si="24"/>
        <v>8.6531842823850305E-2</v>
      </c>
      <c r="AF40" s="85">
        <v>590000</v>
      </c>
      <c r="AG40" s="154">
        <f>VLOOKUP(B40,[13]AKSoftSalesReport!$B$2:$C$90,2,0)</f>
        <v>338896</v>
      </c>
      <c r="AH40" s="7">
        <f t="shared" si="26"/>
        <v>7.4764747489501723E-2</v>
      </c>
      <c r="AI40" s="85">
        <v>500000</v>
      </c>
      <c r="AJ40" s="104">
        <f>VLOOKUP(B40,[14]AKSoftSalesReport!$A:$D,4,0)</f>
        <v>416874.73642857146</v>
      </c>
      <c r="AK40" s="7">
        <f t="shared" si="28"/>
        <v>9.1967843833608925E-2</v>
      </c>
      <c r="AL40" s="85">
        <v>620000</v>
      </c>
      <c r="AM40" s="6">
        <f t="shared" si="4"/>
        <v>4538883.5564285722</v>
      </c>
      <c r="AN40" s="155"/>
      <c r="AO40" s="73">
        <v>4532831.4664285723</v>
      </c>
      <c r="AP40" s="87">
        <f t="shared" si="30"/>
        <v>6799247.1996428585</v>
      </c>
      <c r="AQ40" s="262">
        <v>0.5</v>
      </c>
      <c r="AR40" s="3">
        <v>6800000</v>
      </c>
      <c r="AS40" s="240">
        <f t="shared" si="31"/>
        <v>6800000</v>
      </c>
      <c r="AT40" s="31">
        <f t="shared" si="32"/>
        <v>0</v>
      </c>
      <c r="AU40" s="28">
        <f t="shared" si="5"/>
        <v>-6052.089999999851</v>
      </c>
      <c r="AV40" s="261">
        <f>AP40-AR40</f>
        <v>-752.800357141532</v>
      </c>
      <c r="AZ40" s="28">
        <v>113922</v>
      </c>
      <c r="BA40" s="28">
        <f t="shared" si="33"/>
        <v>186302.16000000009</v>
      </c>
      <c r="BB40" s="253">
        <v>23092</v>
      </c>
      <c r="BC40" s="28">
        <v>300224.16000000009</v>
      </c>
      <c r="BD40" s="28">
        <f>VLOOKUP(B40,[20]AKSoftSalesReport!$A:$B,2,0)</f>
        <v>70299.08</v>
      </c>
      <c r="BE40" s="28">
        <f t="shared" si="34"/>
        <v>376649.84</v>
      </c>
      <c r="BF40" s="28">
        <f>VLOOKUP(B40,[21]AKSoftSalesReport!$A:$B,2,0)</f>
        <v>71155.259999999995</v>
      </c>
      <c r="BG40" s="28">
        <v>446948.92000000004</v>
      </c>
      <c r="BH40" s="28">
        <v>71155.259999999995</v>
      </c>
      <c r="BI40" s="28">
        <f t="shared" si="35"/>
        <v>351463.05000000005</v>
      </c>
      <c r="BJ40" s="28">
        <f>VLOOKUP(B40,[22]AKSoftSalesReport!$A:$B,2,0)</f>
        <v>76351.17</v>
      </c>
      <c r="BK40" s="28">
        <v>422618.31000000006</v>
      </c>
    </row>
    <row r="41" spans="1:63" x14ac:dyDescent="0.3">
      <c r="A41" s="61">
        <v>38</v>
      </c>
      <c r="B41" s="90" t="s">
        <v>113</v>
      </c>
      <c r="C41" s="70">
        <f>VLOOKUP(B41,[3]AKSoftSalesReport!$B$2:$C$87,2,0)</f>
        <v>627271.83000000147</v>
      </c>
      <c r="D41" s="7">
        <f t="shared" si="6"/>
        <v>7.5947688381351797E-2</v>
      </c>
      <c r="E41" s="85">
        <f t="shared" si="7"/>
        <v>765172.96044211939</v>
      </c>
      <c r="F41" s="70">
        <v>521406.5</v>
      </c>
      <c r="G41" s="7">
        <f t="shared" si="8"/>
        <v>6.3129916709333517E-2</v>
      </c>
      <c r="H41" s="85">
        <f t="shared" si="9"/>
        <v>636033.91084653523</v>
      </c>
      <c r="I41" s="70">
        <v>406842</v>
      </c>
      <c r="J41" s="7">
        <f t="shared" si="10"/>
        <v>4.9258882606677643E-2</v>
      </c>
      <c r="K41" s="85">
        <f t="shared" si="11"/>
        <v>496283.24226227723</v>
      </c>
      <c r="L41" s="6">
        <v>603501.74000000022</v>
      </c>
      <c r="M41" s="7">
        <f t="shared" si="12"/>
        <v>7.3069696254530511E-2</v>
      </c>
      <c r="N41" s="85">
        <f t="shared" si="13"/>
        <v>736177.18976439489</v>
      </c>
      <c r="O41" s="6">
        <v>653526.08000000031</v>
      </c>
      <c r="P41" s="7">
        <f t="shared" si="14"/>
        <v>7.9126453156562596E-2</v>
      </c>
      <c r="Q41" s="85">
        <f t="shared" si="15"/>
        <v>797199.01555236813</v>
      </c>
      <c r="R41" s="6">
        <v>742065.7700000006</v>
      </c>
      <c r="S41" s="7">
        <f t="shared" si="16"/>
        <v>8.9846502206910497E-2</v>
      </c>
      <c r="T41" s="85">
        <f t="shared" si="17"/>
        <v>905203.50973462325</v>
      </c>
      <c r="U41" s="71">
        <f>VLOOKUP(B41,[9]AKSoftSalesReport!$B$2:$C$94,2,0)</f>
        <v>760012</v>
      </c>
      <c r="V41" s="7">
        <f t="shared" si="18"/>
        <v>9.2019363506388938E-2</v>
      </c>
      <c r="W41" s="85">
        <f t="shared" si="19"/>
        <v>927095.08732686855</v>
      </c>
      <c r="X41" s="71">
        <f>VLOOKUP(B41,[10]AKSoftSalesReport!$B$2:$C$94,2,0)</f>
        <v>764190</v>
      </c>
      <c r="Y41" s="7">
        <f t="shared" si="20"/>
        <v>9.2525219862248709E-2</v>
      </c>
      <c r="Z41" s="85">
        <f t="shared" si="21"/>
        <v>932191.59011215577</v>
      </c>
      <c r="AA41" s="71">
        <f>VLOOKUP(B41,[11]AKSoftSalesReport!$B$2:$C$94,2,0)</f>
        <v>774474.29000000015</v>
      </c>
      <c r="AB41" s="7">
        <f t="shared" si="22"/>
        <v>9.3770402596093871E-2</v>
      </c>
      <c r="AC41" s="85">
        <f t="shared" si="23"/>
        <v>944736.80615564575</v>
      </c>
      <c r="AD41" s="51">
        <f>VLOOKUP(B41,[12]AKSoftSalesReport!$B$2:$C$89,2,0)</f>
        <v>854268.35000000079</v>
      </c>
      <c r="AE41" s="7">
        <f t="shared" si="24"/>
        <v>0.10343156401563813</v>
      </c>
      <c r="AF41" s="85">
        <f t="shared" si="25"/>
        <v>1042073.0074575542</v>
      </c>
      <c r="AG41" s="154">
        <f>VLOOKUP(B41,[13]AKSoftSalesReport!$B$2:$C$90,2,0)</f>
        <v>779192</v>
      </c>
      <c r="AH41" s="7">
        <f t="shared" si="26"/>
        <v>9.4341604986855745E-2</v>
      </c>
      <c r="AI41" s="85">
        <f t="shared" si="27"/>
        <v>950491.67024257162</v>
      </c>
      <c r="AJ41" s="104">
        <f>VLOOKUP(B41,[14]AKSoftSalesReport!$A:$D,4,0)</f>
        <v>767257.6392857146</v>
      </c>
      <c r="AK41" s="7">
        <f t="shared" si="28"/>
        <v>9.2896637964250586E-2</v>
      </c>
      <c r="AL41" s="85">
        <f t="shared" si="29"/>
        <v>935933.62748982466</v>
      </c>
      <c r="AM41" s="6">
        <f t="shared" si="4"/>
        <v>8254008.1992857177</v>
      </c>
      <c r="AN41" s="155"/>
      <c r="AO41" s="73">
        <v>8259261.6492857188</v>
      </c>
      <c r="AP41" s="87">
        <f t="shared" si="30"/>
        <v>10076299.212128578</v>
      </c>
      <c r="AQ41" s="237">
        <v>0.22</v>
      </c>
      <c r="AR41" s="1">
        <v>10075000</v>
      </c>
      <c r="AS41" s="240">
        <f t="shared" si="31"/>
        <v>10068591.617386939</v>
      </c>
      <c r="AT41" s="31">
        <f t="shared" si="32"/>
        <v>-6408.3826130609959</v>
      </c>
      <c r="AU41" s="28">
        <f t="shared" si="5"/>
        <v>5253.4500000011176</v>
      </c>
      <c r="AZ41" s="28">
        <v>143437</v>
      </c>
      <c r="BA41" s="28">
        <f t="shared" si="33"/>
        <v>460064.74000000022</v>
      </c>
      <c r="BB41" s="253">
        <v>189194</v>
      </c>
      <c r="BC41" s="28">
        <v>603501.74000000022</v>
      </c>
      <c r="BD41" s="28">
        <f>VLOOKUP(B41,[20]AKSoftSalesReport!$A:$B,2,0)</f>
        <v>127039</v>
      </c>
      <c r="BE41" s="28">
        <f t="shared" si="34"/>
        <v>526487.08000000031</v>
      </c>
      <c r="BF41" s="28">
        <f>VLOOKUP(B41,[21]AKSoftSalesReport!$A:$B,2,0)</f>
        <v>92836.219999999987</v>
      </c>
      <c r="BG41" s="28">
        <v>653526.08000000031</v>
      </c>
      <c r="BH41" s="28">
        <v>92836.219999999987</v>
      </c>
      <c r="BI41" s="28">
        <f t="shared" si="35"/>
        <v>649229.55000000063</v>
      </c>
      <c r="BJ41" s="28">
        <f>VLOOKUP(B41,[22]AKSoftSalesReport!$A:$B,2,0)</f>
        <v>121785.54999999992</v>
      </c>
      <c r="BK41" s="28">
        <v>742065.7700000006</v>
      </c>
    </row>
    <row r="42" spans="1:63" x14ac:dyDescent="0.3">
      <c r="A42" s="239">
        <v>39</v>
      </c>
      <c r="B42" s="89" t="s">
        <v>118</v>
      </c>
      <c r="C42" s="70">
        <f>VLOOKUP(B42,[3]AKSoftSalesReport!$B$2:$C$87,2,0)</f>
        <v>664149.47</v>
      </c>
      <c r="D42" s="7">
        <f t="shared" si="6"/>
        <v>7.4017518260905926E-2</v>
      </c>
      <c r="E42" s="85">
        <f t="shared" si="7"/>
        <v>763860.78845254914</v>
      </c>
      <c r="F42" s="70">
        <v>613373.83999999985</v>
      </c>
      <c r="G42" s="7">
        <f t="shared" si="8"/>
        <v>6.8358722627546442E-2</v>
      </c>
      <c r="H42" s="85">
        <f t="shared" si="9"/>
        <v>705462.01751627924</v>
      </c>
      <c r="I42" s="70">
        <v>615472.72</v>
      </c>
      <c r="J42" s="7">
        <f t="shared" si="10"/>
        <v>6.8592636672117555E-2</v>
      </c>
      <c r="K42" s="85">
        <f t="shared" si="11"/>
        <v>707876.01045625319</v>
      </c>
      <c r="L42" s="6">
        <v>763551.57000000007</v>
      </c>
      <c r="M42" s="7">
        <f t="shared" si="12"/>
        <v>8.5095591923936023E-2</v>
      </c>
      <c r="N42" s="85">
        <f t="shared" si="13"/>
        <v>878186.5086550198</v>
      </c>
      <c r="O42" s="6">
        <v>739534.7</v>
      </c>
      <c r="P42" s="7">
        <f t="shared" si="14"/>
        <v>8.2418981922583748E-2</v>
      </c>
      <c r="Q42" s="85">
        <f t="shared" si="15"/>
        <v>850563.89344106428</v>
      </c>
      <c r="R42" s="6">
        <v>711878.41</v>
      </c>
      <c r="S42" s="7">
        <f t="shared" si="16"/>
        <v>7.9336769194018442E-2</v>
      </c>
      <c r="T42" s="85">
        <f t="shared" si="17"/>
        <v>818755.45808227034</v>
      </c>
      <c r="U42" s="71">
        <f>VLOOKUP(B42,[9]AKSoftSalesReport!$B$2:$C$94,2,0)</f>
        <v>662310.16</v>
      </c>
      <c r="V42" s="7">
        <f t="shared" si="18"/>
        <v>7.3812532534556607E-2</v>
      </c>
      <c r="W42" s="85">
        <f t="shared" si="19"/>
        <v>761745.33575662423</v>
      </c>
      <c r="X42" s="71">
        <f>VLOOKUP(B42,[10]AKSoftSalesReport!$B$2:$C$94,2,0)</f>
        <v>729812.03</v>
      </c>
      <c r="Y42" s="7">
        <f t="shared" si="20"/>
        <v>8.1335418753784181E-2</v>
      </c>
      <c r="Z42" s="85">
        <f t="shared" si="21"/>
        <v>839381.52153905272</v>
      </c>
      <c r="AA42" s="71">
        <f>VLOOKUP(B42,[11]AKSoftSalesReport!$B$2:$C$94,2,0)</f>
        <v>765782</v>
      </c>
      <c r="AB42" s="7">
        <f t="shared" si="22"/>
        <v>8.5344166831711935E-2</v>
      </c>
      <c r="AC42" s="85">
        <f t="shared" si="23"/>
        <v>880751.80170326715</v>
      </c>
      <c r="AD42" s="51">
        <f>VLOOKUP(B42,[12]AKSoftSalesReport!$B$2:$C$89,2,0)</f>
        <v>922986.7500000007</v>
      </c>
      <c r="AE42" s="7">
        <f t="shared" si="24"/>
        <v>0.10286417697916594</v>
      </c>
      <c r="AF42" s="85">
        <f t="shared" si="25"/>
        <v>1061558.3064249926</v>
      </c>
      <c r="AG42" s="154">
        <f>VLOOKUP(B42,[13]AKSoftSalesReport!$B$2:$C$90,2,0)</f>
        <v>831457</v>
      </c>
      <c r="AH42" s="7">
        <f t="shared" si="26"/>
        <v>9.2663453726249387E-2</v>
      </c>
      <c r="AI42" s="85">
        <f t="shared" si="27"/>
        <v>956286.84245489363</v>
      </c>
      <c r="AJ42" s="104">
        <f>VLOOKUP(B42,[14]AKSoftSalesReport!$A:$D,4,0)</f>
        <v>941284.22142857139</v>
      </c>
      <c r="AK42" s="7">
        <f t="shared" si="28"/>
        <v>0.10490337671773177</v>
      </c>
      <c r="AL42" s="85">
        <f t="shared" si="29"/>
        <v>1082602.8477269919</v>
      </c>
      <c r="AM42" s="6">
        <f t="shared" si="4"/>
        <v>8961592.8714285735</v>
      </c>
      <c r="AN42" s="155"/>
      <c r="AO42" s="73">
        <v>8972868.6614285745</v>
      </c>
      <c r="AP42" s="87">
        <f t="shared" si="30"/>
        <v>10318798.960642861</v>
      </c>
      <c r="AQ42" s="237">
        <v>0.15</v>
      </c>
      <c r="AR42" s="1">
        <v>10320000</v>
      </c>
      <c r="AS42" s="240">
        <f t="shared" si="31"/>
        <v>10307031.332209257</v>
      </c>
      <c r="AT42" s="31">
        <f t="shared" si="32"/>
        <v>-12968.667790742591</v>
      </c>
      <c r="AU42" s="28">
        <f t="shared" si="5"/>
        <v>11275.790000000969</v>
      </c>
      <c r="AZ42" s="28">
        <v>191702.72</v>
      </c>
      <c r="BA42" s="28">
        <f t="shared" si="33"/>
        <v>571848.85000000009</v>
      </c>
      <c r="BB42" s="253">
        <v>247645.01</v>
      </c>
      <c r="BC42" s="28">
        <v>763551.57000000007</v>
      </c>
      <c r="BD42" s="28">
        <f>VLOOKUP(B42,[20]AKSoftSalesReport!$A:$B,2,0)</f>
        <v>140513</v>
      </c>
      <c r="BE42" s="28">
        <f t="shared" si="34"/>
        <v>599021.69999999995</v>
      </c>
      <c r="BF42" s="28">
        <f>VLOOKUP(B42,[21]AKSoftSalesReport!$A:$B,2,0)</f>
        <v>69721.2</v>
      </c>
      <c r="BG42" s="28">
        <v>739534.7</v>
      </c>
      <c r="BH42" s="28">
        <v>69721.2</v>
      </c>
      <c r="BI42" s="28">
        <f t="shared" si="35"/>
        <v>642157.21000000008</v>
      </c>
      <c r="BJ42" s="28">
        <f>VLOOKUP(B42,[22]AKSoftSalesReport!$A:$B,2,0)</f>
        <v>129237.20999999999</v>
      </c>
      <c r="BK42" s="28">
        <v>711878.41</v>
      </c>
    </row>
    <row r="43" spans="1:63" x14ac:dyDescent="0.3">
      <c r="A43" s="61">
        <v>40</v>
      </c>
      <c r="B43" s="90" t="s">
        <v>114</v>
      </c>
      <c r="C43" s="70">
        <f>VLOOKUP(B43,[3]AKSoftSalesReport!$B$2:$C$87,2,0)</f>
        <v>1817133.6500000001</v>
      </c>
      <c r="D43" s="7">
        <f t="shared" si="6"/>
        <v>7.1440625366127886E-2</v>
      </c>
      <c r="E43" s="85">
        <f t="shared" si="7"/>
        <v>1908179.1035292759</v>
      </c>
      <c r="F43" s="70">
        <v>1459465</v>
      </c>
      <c r="G43" s="7">
        <f t="shared" si="8"/>
        <v>5.7378879258537657E-2</v>
      </c>
      <c r="H43" s="85">
        <f t="shared" si="9"/>
        <v>1532589.8649955408</v>
      </c>
      <c r="I43" s="70">
        <v>1142376</v>
      </c>
      <c r="J43" s="7">
        <f t="shared" si="10"/>
        <v>4.4912522446136915E-2</v>
      </c>
      <c r="K43" s="85">
        <f t="shared" si="11"/>
        <v>1199613.4745363169</v>
      </c>
      <c r="L43" s="6">
        <v>1473432.52</v>
      </c>
      <c r="M43" s="7">
        <f t="shared" si="12"/>
        <v>5.7928012429679966E-2</v>
      </c>
      <c r="N43" s="85">
        <f t="shared" si="13"/>
        <v>1547257.2119967518</v>
      </c>
      <c r="O43" s="6">
        <v>1583981.9100000006</v>
      </c>
      <c r="P43" s="7">
        <f t="shared" si="14"/>
        <v>6.2274262665838437E-2</v>
      </c>
      <c r="Q43" s="85">
        <f t="shared" si="15"/>
        <v>1663345.5558045446</v>
      </c>
      <c r="R43" s="6">
        <v>2087479.1200000006</v>
      </c>
      <c r="S43" s="7">
        <f t="shared" si="16"/>
        <v>8.2069259887149387E-2</v>
      </c>
      <c r="T43" s="85">
        <f t="shared" si="17"/>
        <v>2192069.9315857603</v>
      </c>
      <c r="U43" s="71">
        <f>VLOOKUP(B43,[9]AKSoftSalesReport!$B$2:$C$94,2,0)</f>
        <v>2275485.1800000002</v>
      </c>
      <c r="V43" s="7">
        <f t="shared" si="18"/>
        <v>8.9460719782805231E-2</v>
      </c>
      <c r="W43" s="85">
        <f t="shared" si="19"/>
        <v>2389495.8253987278</v>
      </c>
      <c r="X43" s="71">
        <f>VLOOKUP(B43,[10]AKSoftSalesReport!$B$2:$C$94,2,0)</f>
        <v>2813458.2299999986</v>
      </c>
      <c r="Y43" s="7">
        <f t="shared" si="20"/>
        <v>0.11061113495569197</v>
      </c>
      <c r="Z43" s="85">
        <f t="shared" si="21"/>
        <v>2954423.4146665325</v>
      </c>
      <c r="AA43" s="71">
        <f>VLOOKUP(B43,[11]AKSoftSalesReport!$B$2:$C$94,2,0)</f>
        <v>2983321.3</v>
      </c>
      <c r="AB43" s="7">
        <f t="shared" si="22"/>
        <v>0.1172893030405824</v>
      </c>
      <c r="AC43" s="85">
        <f t="shared" si="23"/>
        <v>3132797.284213956</v>
      </c>
      <c r="AD43" s="51">
        <f>VLOOKUP(B43,[12]AKSoftSalesReport!$B$2:$C$89,2,0)</f>
        <v>3073323.1999999997</v>
      </c>
      <c r="AE43" s="7">
        <f t="shared" si="24"/>
        <v>0.1208277285274142</v>
      </c>
      <c r="AF43" s="85">
        <f t="shared" si="25"/>
        <v>3227308.6289672335</v>
      </c>
      <c r="AG43" s="154">
        <f>VLOOKUP(B43,[13]AKSoftSalesReport!$B$2:$C$90,2,0)</f>
        <v>2775784</v>
      </c>
      <c r="AH43" s="7">
        <f t="shared" si="26"/>
        <v>0.10912997227325129</v>
      </c>
      <c r="AI43" s="85">
        <f t="shared" si="27"/>
        <v>2914861.5594185418</v>
      </c>
      <c r="AJ43" s="104">
        <f>VLOOKUP(B43,[14]AKSoftSalesReport!$A:$D,4,0)</f>
        <v>2069650.7857142854</v>
      </c>
      <c r="AK43" s="7">
        <f t="shared" si="28"/>
        <v>8.1368338768547085E-2</v>
      </c>
      <c r="AL43" s="85">
        <f t="shared" si="29"/>
        <v>2173348.3285078928</v>
      </c>
      <c r="AM43" s="6">
        <f t="shared" si="4"/>
        <v>25554890.895714279</v>
      </c>
      <c r="AN43" s="155"/>
      <c r="AO43" s="73">
        <v>25435578.71571428</v>
      </c>
      <c r="AP43" s="87">
        <f t="shared" si="30"/>
        <v>26707357.651499994</v>
      </c>
      <c r="AQ43" s="237">
        <v>0.05</v>
      </c>
      <c r="AR43" s="1">
        <v>26710000</v>
      </c>
      <c r="AS43" s="240">
        <f t="shared" si="31"/>
        <v>26835290.183621075</v>
      </c>
      <c r="AT43" s="31">
        <f t="shared" si="32"/>
        <v>125290.183621075</v>
      </c>
      <c r="AU43" s="28">
        <f t="shared" si="5"/>
        <v>-119312.1799999997</v>
      </c>
      <c r="AZ43" s="28">
        <v>356051</v>
      </c>
      <c r="BA43" s="28">
        <f t="shared" si="33"/>
        <v>1117381.52</v>
      </c>
      <c r="BB43" s="253">
        <v>549877.5</v>
      </c>
      <c r="BC43" s="28">
        <v>1473432.52</v>
      </c>
      <c r="BD43" s="28">
        <f>VLOOKUP(B43,[20]AKSoftSalesReport!$A:$B,2,0)</f>
        <v>250916.15000000002</v>
      </c>
      <c r="BE43" s="28">
        <f t="shared" si="34"/>
        <v>1333065.7600000007</v>
      </c>
      <c r="BF43" s="28">
        <f>VLOOKUP(B43,[21]AKSoftSalesReport!$A:$B,2,0)</f>
        <v>283696.16000000003</v>
      </c>
      <c r="BG43" s="28">
        <v>1583981.9100000006</v>
      </c>
      <c r="BH43" s="28">
        <v>283696.16000000003</v>
      </c>
      <c r="BI43" s="28">
        <f t="shared" si="35"/>
        <v>1803782.9600000004</v>
      </c>
      <c r="BJ43" s="28">
        <f>VLOOKUP(B43,[22]AKSoftSalesReport!$A:$B,2,0)</f>
        <v>370228.33000000007</v>
      </c>
      <c r="BK43" s="28">
        <v>2087479.1200000006</v>
      </c>
    </row>
    <row r="44" spans="1:63" x14ac:dyDescent="0.3">
      <c r="A44" s="239">
        <v>41</v>
      </c>
      <c r="B44" s="89" t="s">
        <v>115</v>
      </c>
      <c r="C44" s="70">
        <f>VLOOKUP(B44,[3]AKSoftSalesReport!$B$2:$C$87,2,0)</f>
        <v>958298.30000000133</v>
      </c>
      <c r="D44" s="7">
        <f t="shared" si="6"/>
        <v>8.4082878031338154E-2</v>
      </c>
      <c r="E44" s="85">
        <f t="shared" si="7"/>
        <v>1245687.8380342748</v>
      </c>
      <c r="F44" s="70">
        <v>769891.5</v>
      </c>
      <c r="G44" s="7">
        <f t="shared" si="8"/>
        <v>6.7551714421139941E-2</v>
      </c>
      <c r="H44" s="85">
        <f t="shared" si="9"/>
        <v>1000778.6491491882</v>
      </c>
      <c r="I44" s="70">
        <v>730508.5</v>
      </c>
      <c r="J44" s="7">
        <f t="shared" si="10"/>
        <v>6.4096176635558777E-2</v>
      </c>
      <c r="K44" s="85">
        <f t="shared" si="11"/>
        <v>949584.85685580329</v>
      </c>
      <c r="L44" s="6">
        <v>912685.06</v>
      </c>
      <c r="M44" s="7">
        <f t="shared" si="12"/>
        <v>8.0080687382002497E-2</v>
      </c>
      <c r="N44" s="85">
        <f t="shared" si="13"/>
        <v>1186395.383564367</v>
      </c>
      <c r="O44" s="6">
        <v>1038866.070000001</v>
      </c>
      <c r="P44" s="7">
        <f t="shared" si="14"/>
        <v>9.1152044258771575E-2</v>
      </c>
      <c r="Q44" s="85">
        <f t="shared" si="15"/>
        <v>1350417.5356937009</v>
      </c>
      <c r="R44" s="6">
        <v>989606.49000000174</v>
      </c>
      <c r="S44" s="7">
        <f t="shared" si="16"/>
        <v>8.6829916945162788E-2</v>
      </c>
      <c r="T44" s="85">
        <f t="shared" si="17"/>
        <v>1286385.2195425867</v>
      </c>
      <c r="U44" s="71">
        <f>VLOOKUP(B44,[9]AKSoftSalesReport!$B$2:$C$94,2,0)</f>
        <v>1084985.52</v>
      </c>
      <c r="V44" s="7">
        <f t="shared" si="18"/>
        <v>9.5198650716512678E-2</v>
      </c>
      <c r="W44" s="85">
        <f t="shared" si="19"/>
        <v>1410368.0103651353</v>
      </c>
      <c r="X44" s="71">
        <f>VLOOKUP(B44,[10]AKSoftSalesReport!$B$2:$C$94,2,0)</f>
        <v>1061794.1900000002</v>
      </c>
      <c r="Y44" s="7">
        <f t="shared" si="20"/>
        <v>9.316380021977852E-2</v>
      </c>
      <c r="Z44" s="85">
        <f t="shared" si="21"/>
        <v>1380221.7002560187</v>
      </c>
      <c r="AA44" s="71">
        <f>VLOOKUP(B44,[11]AKSoftSalesReport!$B$2:$C$94,2,0)</f>
        <v>967527</v>
      </c>
      <c r="AB44" s="7">
        <f t="shared" si="22"/>
        <v>8.4892621361246701E-2</v>
      </c>
      <c r="AC44" s="85">
        <f t="shared" si="23"/>
        <v>1257684.18546687</v>
      </c>
      <c r="AD44" s="51">
        <f>VLOOKUP(B44,[12]AKSoftSalesReport!$B$2:$C$89,2,0)</f>
        <v>1011012.05</v>
      </c>
      <c r="AE44" s="7">
        <f t="shared" si="24"/>
        <v>8.8708080655431648E-2</v>
      </c>
      <c r="AF44" s="85">
        <f t="shared" si="25"/>
        <v>1314210.2149102199</v>
      </c>
      <c r="AG44" s="154">
        <f>VLOOKUP(B44,[13]AKSoftSalesReport!$B$2:$C$90,2,0)</f>
        <v>893925</v>
      </c>
      <c r="AH44" s="7">
        <f t="shared" si="26"/>
        <v>7.8434644769967615E-2</v>
      </c>
      <c r="AI44" s="85">
        <f t="shared" si="27"/>
        <v>1162009.2622670701</v>
      </c>
      <c r="AJ44" s="104">
        <f>VLOOKUP(B44,[14]AKSoftSalesReport!$A:$D,4,0)</f>
        <v>977093.80500000017</v>
      </c>
      <c r="AK44" s="7">
        <f t="shared" si="28"/>
        <v>8.573203065370251E-2</v>
      </c>
      <c r="AL44" s="85">
        <f t="shared" si="29"/>
        <v>1270120.0341346026</v>
      </c>
      <c r="AM44" s="6">
        <f t="shared" si="4"/>
        <v>11396193.485000005</v>
      </c>
      <c r="AN44" s="155"/>
      <c r="AO44" s="73">
        <v>11397068.255000005</v>
      </c>
      <c r="AP44" s="87">
        <f t="shared" si="30"/>
        <v>14816188.731500005</v>
      </c>
      <c r="AQ44" s="237">
        <v>0.3</v>
      </c>
      <c r="AR44" s="1">
        <v>14815000</v>
      </c>
      <c r="AS44" s="240">
        <f t="shared" si="31"/>
        <v>14813862.890239839</v>
      </c>
      <c r="AT44" s="31">
        <f t="shared" si="32"/>
        <v>-1137.1097601614892</v>
      </c>
      <c r="AU44" s="28">
        <f t="shared" si="5"/>
        <v>874.76999999955297</v>
      </c>
      <c r="AZ44" s="28">
        <v>276701.5</v>
      </c>
      <c r="BA44" s="28">
        <f t="shared" si="33"/>
        <v>635983.56000000006</v>
      </c>
      <c r="BB44" s="253">
        <v>340366</v>
      </c>
      <c r="BC44" s="28">
        <v>912685.06</v>
      </c>
      <c r="BD44" s="28">
        <f>VLOOKUP(B44,[20]AKSoftSalesReport!$A:$B,2,0)</f>
        <v>170762.74</v>
      </c>
      <c r="BE44" s="28">
        <f t="shared" si="34"/>
        <v>868103.33000000101</v>
      </c>
      <c r="BF44" s="28">
        <f>VLOOKUP(B44,[21]AKSoftSalesReport!$A:$B,2,0)</f>
        <v>140526.47999999992</v>
      </c>
      <c r="BG44" s="28">
        <v>1038866.070000001</v>
      </c>
      <c r="BH44" s="28">
        <v>140526.47999999992</v>
      </c>
      <c r="BI44" s="28">
        <f t="shared" si="35"/>
        <v>849080.01000000187</v>
      </c>
      <c r="BJ44" s="28">
        <f>VLOOKUP(B44,[22]AKSoftSalesReport!$A:$B,2,0)</f>
        <v>169887.97000000006</v>
      </c>
      <c r="BK44" s="28">
        <v>989606.49000000174</v>
      </c>
    </row>
    <row r="45" spans="1:63" x14ac:dyDescent="0.3">
      <c r="A45" s="61">
        <v>42</v>
      </c>
      <c r="B45" s="90" t="s">
        <v>116</v>
      </c>
      <c r="C45" s="70">
        <f>VLOOKUP(B45,[3]AKSoftSalesReport!$B$2:$C$87,2,0)</f>
        <v>802605.81000000064</v>
      </c>
      <c r="D45" s="7">
        <f t="shared" si="6"/>
        <v>7.453450452087669E-2</v>
      </c>
      <c r="E45" s="85">
        <f t="shared" si="7"/>
        <v>922737.1659684534</v>
      </c>
      <c r="F45" s="70">
        <v>619492.5</v>
      </c>
      <c r="G45" s="7">
        <f t="shared" si="8"/>
        <v>5.7529569268753696E-2</v>
      </c>
      <c r="H45" s="85">
        <f t="shared" si="9"/>
        <v>712216.06754717079</v>
      </c>
      <c r="I45" s="70">
        <v>667507</v>
      </c>
      <c r="J45" s="7">
        <f t="shared" si="10"/>
        <v>6.1988466678576375E-2</v>
      </c>
      <c r="K45" s="85">
        <f t="shared" si="11"/>
        <v>767417.21748077555</v>
      </c>
      <c r="L45" s="6">
        <v>819155</v>
      </c>
      <c r="M45" s="7">
        <f t="shared" si="12"/>
        <v>7.6071355689287495E-2</v>
      </c>
      <c r="N45" s="85">
        <f t="shared" si="13"/>
        <v>941763.38343337923</v>
      </c>
      <c r="O45" s="6">
        <v>904515.7300000001</v>
      </c>
      <c r="P45" s="7">
        <f t="shared" si="14"/>
        <v>8.3998434757018556E-2</v>
      </c>
      <c r="Q45" s="85">
        <f t="shared" si="15"/>
        <v>1039900.6222918897</v>
      </c>
      <c r="R45" s="6">
        <v>984698.99000000255</v>
      </c>
      <c r="S45" s="7">
        <f t="shared" si="16"/>
        <v>9.1444704744733721E-2</v>
      </c>
      <c r="T45" s="85">
        <f t="shared" si="17"/>
        <v>1132085.4447398034</v>
      </c>
      <c r="U45" s="71">
        <f>VLOOKUP(B45,[9]AKSoftSalesReport!$B$2:$C$94,2,0)</f>
        <v>1046154.3700000001</v>
      </c>
      <c r="V45" s="7">
        <f t="shared" si="18"/>
        <v>9.7151798116562174E-2</v>
      </c>
      <c r="W45" s="85">
        <f t="shared" si="19"/>
        <v>1202739.2606830397</v>
      </c>
      <c r="X45" s="71">
        <f>VLOOKUP(B45,[10]AKSoftSalesReport!$B$2:$C$94,2,0)</f>
        <v>1032343.3300000003</v>
      </c>
      <c r="Y45" s="7">
        <f t="shared" si="20"/>
        <v>9.5869227008189561E-2</v>
      </c>
      <c r="Z45" s="85">
        <f t="shared" si="21"/>
        <v>1186861.0303613867</v>
      </c>
      <c r="AA45" s="71">
        <f>VLOOKUP(B45,[11]AKSoftSalesReport!$B$2:$C$94,2,0)</f>
        <v>1012185.2700000001</v>
      </c>
      <c r="AB45" s="7">
        <f t="shared" si="22"/>
        <v>9.399723580717631E-2</v>
      </c>
      <c r="AC45" s="85">
        <f t="shared" si="23"/>
        <v>1163685.7792928426</v>
      </c>
      <c r="AD45" s="51">
        <f>VLOOKUP(B45,[12]AKSoftSalesReport!$B$2:$C$89,2,0)</f>
        <v>1005618.0000000007</v>
      </c>
      <c r="AE45" s="7">
        <f t="shared" si="24"/>
        <v>9.3387362056692527E-2</v>
      </c>
      <c r="AF45" s="85">
        <f t="shared" si="25"/>
        <v>1156135.5422618536</v>
      </c>
      <c r="AG45" s="154">
        <f>VLOOKUP(B45,[13]AKSoftSalesReport!$B$2:$C$90,2,0)</f>
        <v>966120</v>
      </c>
      <c r="AH45" s="7">
        <f t="shared" si="26"/>
        <v>8.9719354894414904E-2</v>
      </c>
      <c r="AI45" s="85">
        <f t="shared" si="27"/>
        <v>1110725.6135928566</v>
      </c>
      <c r="AJ45" s="104">
        <f>VLOOKUP(B45,[14]AKSoftSalesReport!$A:$D,4,0)</f>
        <v>924393.42857142864</v>
      </c>
      <c r="AK45" s="7">
        <f t="shared" si="28"/>
        <v>8.5844390013730149E-2</v>
      </c>
      <c r="AL45" s="85">
        <f t="shared" si="29"/>
        <v>1062753.5483699793</v>
      </c>
      <c r="AM45" s="6">
        <f t="shared" si="4"/>
        <v>10784789.428571433</v>
      </c>
      <c r="AN45" s="155"/>
      <c r="AO45" s="73">
        <v>10768245.058571434</v>
      </c>
      <c r="AP45" s="87">
        <f t="shared" si="30"/>
        <v>12383481.817357149</v>
      </c>
      <c r="AQ45" s="237">
        <v>0.15</v>
      </c>
      <c r="AR45" s="1">
        <v>12380000</v>
      </c>
      <c r="AS45" s="240">
        <f t="shared" si="31"/>
        <v>12399020.676023433</v>
      </c>
      <c r="AT45" s="31">
        <f t="shared" si="32"/>
        <v>19020.676023432985</v>
      </c>
      <c r="AU45" s="28">
        <f t="shared" si="5"/>
        <v>-16544.36999999918</v>
      </c>
      <c r="AZ45" s="28">
        <v>267420</v>
      </c>
      <c r="BA45" s="28">
        <f t="shared" si="33"/>
        <v>551735</v>
      </c>
      <c r="BB45" s="253">
        <v>287265</v>
      </c>
      <c r="BC45" s="28">
        <v>819155</v>
      </c>
      <c r="BD45" s="28">
        <f>VLOOKUP(B45,[20]AKSoftSalesReport!$A:$B,2,0)</f>
        <v>152845.01</v>
      </c>
      <c r="BE45" s="28">
        <f t="shared" si="34"/>
        <v>751670.72000000009</v>
      </c>
      <c r="BF45" s="28">
        <f>VLOOKUP(B45,[21]AKSoftSalesReport!$A:$B,2,0)</f>
        <v>152546.30999999997</v>
      </c>
      <c r="BG45" s="28">
        <v>904515.7300000001</v>
      </c>
      <c r="BH45" s="28">
        <v>152546.30999999997</v>
      </c>
      <c r="BI45" s="28">
        <f t="shared" si="35"/>
        <v>832152.68000000261</v>
      </c>
      <c r="BJ45" s="28">
        <f>VLOOKUP(B45,[22]AKSoftSalesReport!$A:$B,2,0)</f>
        <v>169389.38000000009</v>
      </c>
      <c r="BK45" s="28">
        <v>984698.99000000255</v>
      </c>
    </row>
    <row r="46" spans="1:63" x14ac:dyDescent="0.3">
      <c r="A46" s="239">
        <v>43</v>
      </c>
      <c r="B46" s="89" t="s">
        <v>121</v>
      </c>
      <c r="C46" s="70">
        <f>VLOOKUP(B46,[3]AKSoftSalesReport!$B$2:$C$87,2,0)</f>
        <v>347971.29000000085</v>
      </c>
      <c r="D46" s="7">
        <f t="shared" si="6"/>
        <v>6.0084759298283996E-2</v>
      </c>
      <c r="E46" s="85">
        <f t="shared" si="7"/>
        <v>469862.81771258084</v>
      </c>
      <c r="F46" s="70">
        <v>293087</v>
      </c>
      <c r="G46" s="7">
        <f t="shared" si="8"/>
        <v>5.0607801144905137E-2</v>
      </c>
      <c r="H46" s="85">
        <f t="shared" si="9"/>
        <v>395753.00495315815</v>
      </c>
      <c r="I46" s="70">
        <v>315035</v>
      </c>
      <c r="J46" s="7">
        <f t="shared" si="10"/>
        <v>5.4397597415392671E-2</v>
      </c>
      <c r="K46" s="85">
        <f t="shared" si="11"/>
        <v>425389.21178837068</v>
      </c>
      <c r="L46" s="6">
        <v>394386.5</v>
      </c>
      <c r="M46" s="7">
        <f t="shared" si="12"/>
        <v>6.8099347859970349E-2</v>
      </c>
      <c r="N46" s="85">
        <f t="shared" si="13"/>
        <v>532536.90026496816</v>
      </c>
      <c r="O46" s="6">
        <v>431848.5700000003</v>
      </c>
      <c r="P46" s="7">
        <f t="shared" si="14"/>
        <v>7.4567983415407921E-2</v>
      </c>
      <c r="Q46" s="85">
        <f t="shared" si="15"/>
        <v>583121.6303084899</v>
      </c>
      <c r="R46" s="6">
        <v>539564.70000000042</v>
      </c>
      <c r="S46" s="7">
        <f t="shared" si="16"/>
        <v>9.3167499897335665E-2</v>
      </c>
      <c r="T46" s="85">
        <f t="shared" si="17"/>
        <v>728569.84919716488</v>
      </c>
      <c r="U46" s="71">
        <f>VLOOKUP(B46,[9]AKSoftSalesReport!$B$2:$C$94,2,0)</f>
        <v>564574.73000000033</v>
      </c>
      <c r="V46" s="7">
        <f t="shared" si="18"/>
        <v>9.7486021786290511E-2</v>
      </c>
      <c r="W46" s="85">
        <f t="shared" si="19"/>
        <v>762340.69036879181</v>
      </c>
      <c r="X46" s="71">
        <f>VLOOKUP(B46,[10]AKSoftSalesReport!$B$2:$C$94,2,0)</f>
        <v>542879.51000000024</v>
      </c>
      <c r="Y46" s="7">
        <f t="shared" si="20"/>
        <v>9.373987344277826E-2</v>
      </c>
      <c r="Z46" s="85">
        <f t="shared" si="21"/>
        <v>733045.81032252603</v>
      </c>
      <c r="AA46" s="71">
        <f>VLOOKUP(B46,[11]AKSoftSalesReport!$B$2:$C$94,2,0)</f>
        <v>573544.1</v>
      </c>
      <c r="AB46" s="7">
        <f t="shared" si="22"/>
        <v>9.9034777252602763E-2</v>
      </c>
      <c r="AC46" s="85">
        <f t="shared" si="23"/>
        <v>774451.9581153536</v>
      </c>
      <c r="AD46" s="51">
        <f>VLOOKUP(B46,[12]AKSoftSalesReport!$B$2:$C$89,2,0)</f>
        <v>619303.19999999995</v>
      </c>
      <c r="AE46" s="7">
        <f t="shared" si="24"/>
        <v>0.10693607425100198</v>
      </c>
      <c r="AF46" s="85">
        <f t="shared" si="25"/>
        <v>836240.10064283549</v>
      </c>
      <c r="AG46" s="154">
        <f>VLOOKUP(B46,[13]AKSoftSalesReport!$B$2:$C$90,2,0)</f>
        <v>604708</v>
      </c>
      <c r="AH46" s="7">
        <f t="shared" si="26"/>
        <v>0.10441589771887971</v>
      </c>
      <c r="AI46" s="85">
        <f t="shared" si="27"/>
        <v>816532.32016163936</v>
      </c>
      <c r="AJ46" s="104">
        <f>VLOOKUP(B46,[14]AKSoftSalesReport!$A:$D,4,0)</f>
        <v>576586.7142857142</v>
      </c>
      <c r="AK46" s="7">
        <f t="shared" si="28"/>
        <v>9.9560150328624808E-2</v>
      </c>
      <c r="AL46" s="85">
        <f t="shared" si="29"/>
        <v>778560.37556984602</v>
      </c>
      <c r="AM46" s="6">
        <f t="shared" si="4"/>
        <v>5803489.314285716</v>
      </c>
      <c r="AN46" s="155"/>
      <c r="AO46" s="104">
        <v>5791340.3342857165</v>
      </c>
      <c r="AP46" s="87">
        <f t="shared" si="30"/>
        <v>7818309.4512857171</v>
      </c>
      <c r="AQ46" s="237">
        <v>0.35</v>
      </c>
      <c r="AR46" s="1">
        <v>7820000</v>
      </c>
      <c r="AS46" s="240">
        <f t="shared" si="31"/>
        <v>7836404.6694057249</v>
      </c>
      <c r="AT46" s="31">
        <f t="shared" si="32"/>
        <v>16404.669405724853</v>
      </c>
      <c r="AU46" s="28">
        <f t="shared" si="5"/>
        <v>-12148.979999999516</v>
      </c>
      <c r="AZ46" s="28">
        <v>121417</v>
      </c>
      <c r="BA46" s="28">
        <f t="shared" si="33"/>
        <v>272969.5</v>
      </c>
      <c r="BB46" s="253">
        <v>132286.5</v>
      </c>
      <c r="BC46" s="28">
        <v>394386.5</v>
      </c>
      <c r="BD46" s="28">
        <f>VLOOKUP(B46,[20]AKSoftSalesReport!$A:$B,2,0)</f>
        <v>77164.159999999989</v>
      </c>
      <c r="BE46" s="28">
        <f t="shared" si="34"/>
        <v>354684.41000000032</v>
      </c>
      <c r="BF46" s="28">
        <f>VLOOKUP(B46,[21]AKSoftSalesReport!$A:$B,2,0)</f>
        <v>53679.149999999994</v>
      </c>
      <c r="BG46" s="28">
        <v>431848.5700000003</v>
      </c>
      <c r="BH46" s="28">
        <v>53679.149999999994</v>
      </c>
      <c r="BI46" s="28">
        <f t="shared" si="35"/>
        <v>485885.5500000004</v>
      </c>
      <c r="BJ46" s="28">
        <f>VLOOKUP(B46,[22]AKSoftSalesReport!$A:$B,2,0)</f>
        <v>89313.139999999985</v>
      </c>
      <c r="BK46" s="28">
        <v>539564.70000000042</v>
      </c>
    </row>
    <row r="47" spans="1:63" x14ac:dyDescent="0.3">
      <c r="A47" s="61">
        <v>44</v>
      </c>
      <c r="B47" s="106" t="s">
        <v>254</v>
      </c>
      <c r="C47" s="70">
        <v>0</v>
      </c>
      <c r="D47" s="7">
        <f t="shared" si="6"/>
        <v>0</v>
      </c>
      <c r="E47" s="85">
        <f t="shared" si="7"/>
        <v>0</v>
      </c>
      <c r="F47" s="70">
        <v>0</v>
      </c>
      <c r="G47" s="7">
        <f t="shared" si="8"/>
        <v>0</v>
      </c>
      <c r="H47" s="85">
        <f t="shared" si="9"/>
        <v>0</v>
      </c>
      <c r="I47" s="70">
        <v>0</v>
      </c>
      <c r="J47" s="7">
        <f t="shared" si="10"/>
        <v>0</v>
      </c>
      <c r="K47" s="85">
        <f t="shared" si="11"/>
        <v>0</v>
      </c>
      <c r="L47" s="6">
        <v>0</v>
      </c>
      <c r="M47" s="7">
        <f t="shared" si="12"/>
        <v>0</v>
      </c>
      <c r="N47" s="85">
        <f t="shared" si="13"/>
        <v>0</v>
      </c>
      <c r="O47" s="6">
        <v>174432</v>
      </c>
      <c r="P47" s="7">
        <f t="shared" si="14"/>
        <v>1.4658151260504201E-2</v>
      </c>
      <c r="Q47" s="85">
        <f t="shared" si="15"/>
        <v>235483.19999999998</v>
      </c>
      <c r="R47" s="6">
        <v>821278</v>
      </c>
      <c r="S47" s="7">
        <f t="shared" si="16"/>
        <v>6.9014957983193279E-2</v>
      </c>
      <c r="T47" s="85">
        <f t="shared" si="17"/>
        <v>1108725.3</v>
      </c>
      <c r="U47" s="71">
        <f>VLOOKUP(B47,[9]AKSoftSalesReport!$B$2:$C$94,2,0)</f>
        <v>1053229</v>
      </c>
      <c r="V47" s="7">
        <f t="shared" si="18"/>
        <v>8.8506638655462183E-2</v>
      </c>
      <c r="W47" s="85">
        <f t="shared" si="19"/>
        <v>1421859.15</v>
      </c>
      <c r="X47" s="71">
        <v>1097442.83</v>
      </c>
      <c r="Y47" s="7">
        <f t="shared" si="20"/>
        <v>9.2222086554621857E-2</v>
      </c>
      <c r="Z47" s="85">
        <f t="shared" si="21"/>
        <v>1481547.8205000001</v>
      </c>
      <c r="AA47" s="71">
        <v>1110153</v>
      </c>
      <c r="AB47" s="7">
        <f t="shared" si="22"/>
        <v>9.3290168067226897E-2</v>
      </c>
      <c r="AC47" s="85">
        <f t="shared" si="23"/>
        <v>1498706.55</v>
      </c>
      <c r="AD47" s="51">
        <v>1081508.76</v>
      </c>
      <c r="AE47" s="7">
        <f t="shared" si="24"/>
        <v>9.0883089075630252E-2</v>
      </c>
      <c r="AF47" s="85">
        <f t="shared" si="25"/>
        <v>1460036.8260000001</v>
      </c>
      <c r="AG47" s="154">
        <v>969670</v>
      </c>
      <c r="AH47" s="7">
        <f t="shared" si="26"/>
        <v>8.1484873949579831E-2</v>
      </c>
      <c r="AI47" s="85">
        <f t="shared" si="27"/>
        <v>1309054.5</v>
      </c>
      <c r="AJ47" s="104">
        <v>1008668.5892857147</v>
      </c>
      <c r="AK47" s="7">
        <f t="shared" si="28"/>
        <v>8.4762066326530647E-2</v>
      </c>
      <c r="AL47" s="85">
        <f t="shared" si="29"/>
        <v>1361702.5955357149</v>
      </c>
      <c r="AM47" s="6">
        <f t="shared" si="4"/>
        <v>7316382.1792857144</v>
      </c>
      <c r="AN47" s="155">
        <f>AM47/216</f>
        <v>33872.139718915343</v>
      </c>
      <c r="AO47" s="101">
        <v>11900000</v>
      </c>
      <c r="AP47" s="87">
        <f t="shared" si="30"/>
        <v>16065000</v>
      </c>
      <c r="AQ47" s="237">
        <v>0.35</v>
      </c>
      <c r="AR47" s="1">
        <v>16065000</v>
      </c>
      <c r="AS47" s="240">
        <f t="shared" si="31"/>
        <v>9877115.9420357142</v>
      </c>
      <c r="AT47" s="31">
        <f t="shared" si="32"/>
        <v>-6187884.0579642858</v>
      </c>
      <c r="AU47" s="28">
        <f t="shared" si="5"/>
        <v>4583617.8207142856</v>
      </c>
      <c r="AZ47" s="28">
        <v>0</v>
      </c>
      <c r="BA47" s="28">
        <f t="shared" si="33"/>
        <v>0</v>
      </c>
      <c r="BB47" s="253">
        <v>0</v>
      </c>
      <c r="BC47" s="28">
        <v>0</v>
      </c>
      <c r="BD47" s="28">
        <v>0</v>
      </c>
      <c r="BE47" s="28">
        <f t="shared" si="34"/>
        <v>174432</v>
      </c>
      <c r="BF47" s="28">
        <v>142417</v>
      </c>
      <c r="BG47" s="28">
        <v>174432</v>
      </c>
      <c r="BH47" s="28">
        <v>142417</v>
      </c>
      <c r="BI47" s="28">
        <f t="shared" si="35"/>
        <v>678861</v>
      </c>
      <c r="BJ47" s="28">
        <v>137392</v>
      </c>
      <c r="BK47" s="28">
        <v>821278</v>
      </c>
    </row>
    <row r="48" spans="1:63" x14ac:dyDescent="0.3">
      <c r="A48" s="239">
        <v>45</v>
      </c>
      <c r="B48" s="89" t="s">
        <v>13</v>
      </c>
      <c r="C48" s="70">
        <f>VLOOKUP(B48,[3]AKSoftSalesReport!$B$2:$C$87,2,0)</f>
        <v>1526361.5000000012</v>
      </c>
      <c r="D48" s="7">
        <f t="shared" si="6"/>
        <v>8.2720583646256451E-2</v>
      </c>
      <c r="E48" s="85">
        <f t="shared" si="7"/>
        <v>1831433.7219281178</v>
      </c>
      <c r="F48" s="70">
        <v>1256154</v>
      </c>
      <c r="G48" s="7">
        <f t="shared" si="8"/>
        <v>6.8076790478257959E-2</v>
      </c>
      <c r="H48" s="85">
        <f t="shared" si="9"/>
        <v>1507220.1411886313</v>
      </c>
      <c r="I48" s="70">
        <v>1350914</v>
      </c>
      <c r="J48" s="7">
        <f t="shared" si="10"/>
        <v>7.3212272804246442E-2</v>
      </c>
      <c r="K48" s="85">
        <f t="shared" si="11"/>
        <v>1620919.7198860163</v>
      </c>
      <c r="L48" s="6">
        <v>1508288</v>
      </c>
      <c r="M48" s="7">
        <f t="shared" si="12"/>
        <v>8.1741097155978285E-2</v>
      </c>
      <c r="N48" s="85">
        <f t="shared" si="13"/>
        <v>1809747.8910333591</v>
      </c>
      <c r="O48" s="6">
        <v>1697721.1500000001</v>
      </c>
      <c r="P48" s="7">
        <f t="shared" si="14"/>
        <v>9.2007355005084696E-2</v>
      </c>
      <c r="Q48" s="85">
        <f t="shared" si="15"/>
        <v>2037042.8398125751</v>
      </c>
      <c r="R48" s="6">
        <v>1760826.4800000004</v>
      </c>
      <c r="S48" s="7">
        <f t="shared" si="16"/>
        <v>9.5427324474171571E-2</v>
      </c>
      <c r="T48" s="85">
        <f t="shared" si="17"/>
        <v>2112760.9638581588</v>
      </c>
      <c r="U48" s="71">
        <f>VLOOKUP(B48,[9]AKSoftSalesReport!$B$2:$C$94,2,0)</f>
        <v>1689783</v>
      </c>
      <c r="V48" s="7">
        <f t="shared" si="18"/>
        <v>9.1577149971040314E-2</v>
      </c>
      <c r="W48" s="85">
        <f t="shared" si="19"/>
        <v>2027518.1003588326</v>
      </c>
      <c r="X48" s="71">
        <f>VLOOKUP(B48,[10]AKSoftSalesReport!$B$2:$C$94,2,0)</f>
        <v>1552347</v>
      </c>
      <c r="Y48" s="7">
        <f t="shared" si="20"/>
        <v>8.4128857981228669E-2</v>
      </c>
      <c r="Z48" s="85">
        <f t="shared" si="21"/>
        <v>1862612.9157044028</v>
      </c>
      <c r="AA48" s="71">
        <f>VLOOKUP(B48,[11]AKSoftSalesReport!$B$2:$C$94,2,0)</f>
        <v>1613617</v>
      </c>
      <c r="AB48" s="7">
        <f t="shared" si="22"/>
        <v>8.7449362435780303E-2</v>
      </c>
      <c r="AC48" s="85">
        <f t="shared" si="23"/>
        <v>1936128.8843281758</v>
      </c>
      <c r="AD48" s="51">
        <f>VLOOKUP(B48,[12]AKSoftSalesReport!$B$2:$C$89,2,0)</f>
        <v>1625553</v>
      </c>
      <c r="AE48" s="7">
        <f t="shared" si="24"/>
        <v>8.8096229437078316E-2</v>
      </c>
      <c r="AF48" s="85">
        <f t="shared" si="25"/>
        <v>1950450.519736914</v>
      </c>
      <c r="AG48" s="154">
        <f>VLOOKUP(B48,[13]AKSoftSalesReport!$B$2:$C$90,2,0)</f>
        <v>1478618</v>
      </c>
      <c r="AH48" s="7">
        <f t="shared" si="26"/>
        <v>8.0133142738375102E-2</v>
      </c>
      <c r="AI48" s="85">
        <f t="shared" si="27"/>
        <v>1774147.7802276248</v>
      </c>
      <c r="AJ48" s="104">
        <f>VLOOKUP(B48,[14]AKSoftSalesReport!$A:$D,4,0)</f>
        <v>1396700.5714285716</v>
      </c>
      <c r="AK48" s="7">
        <f t="shared" si="28"/>
        <v>7.5693658709048442E-2</v>
      </c>
      <c r="AL48" s="85">
        <f t="shared" si="29"/>
        <v>1675857.6038183325</v>
      </c>
      <c r="AM48" s="6">
        <f t="shared" si="4"/>
        <v>18456883.70142857</v>
      </c>
      <c r="AN48" s="6"/>
      <c r="AO48" s="73">
        <v>18452015.601428572</v>
      </c>
      <c r="AP48" s="87">
        <f t="shared" si="30"/>
        <v>22142418.721714288</v>
      </c>
      <c r="AQ48" s="237">
        <v>0.2</v>
      </c>
      <c r="AR48" s="25">
        <v>22140000</v>
      </c>
      <c r="AS48" s="240">
        <f t="shared" si="31"/>
        <v>22145841.081881139</v>
      </c>
      <c r="AT48" s="31">
        <f t="shared" si="32"/>
        <v>5841.0818811394274</v>
      </c>
      <c r="AU48" s="28">
        <f t="shared" si="5"/>
        <v>-4868.0999999977648</v>
      </c>
      <c r="AZ48" s="28">
        <v>500902</v>
      </c>
      <c r="BA48" s="28">
        <f t="shared" si="33"/>
        <v>1007386</v>
      </c>
      <c r="BB48" s="253">
        <v>504579</v>
      </c>
      <c r="BC48" s="28">
        <v>1508288</v>
      </c>
      <c r="BD48" s="28">
        <f>VLOOKUP(B48,[20]AKSoftSalesReport!$A:$B,2,0)</f>
        <v>293257.02999999997</v>
      </c>
      <c r="BE48" s="28">
        <f t="shared" si="34"/>
        <v>1404464.12</v>
      </c>
      <c r="BF48" s="28">
        <f>VLOOKUP(B48,[21]AKSoftSalesReport!$A:$B,2,0)</f>
        <v>291608.12000000005</v>
      </c>
      <c r="BG48" s="28">
        <v>1697721.1500000001</v>
      </c>
      <c r="BH48" s="28">
        <v>291608.12000000005</v>
      </c>
      <c r="BI48" s="28">
        <f t="shared" si="35"/>
        <v>1469218.3600000003</v>
      </c>
      <c r="BJ48" s="28">
        <f>VLOOKUP(B48,[22]AKSoftSalesReport!$A:$B,2,0)</f>
        <v>298125.13</v>
      </c>
      <c r="BK48" s="28">
        <v>1760826.4800000004</v>
      </c>
    </row>
    <row r="49" spans="1:63" x14ac:dyDescent="0.3">
      <c r="A49" s="61">
        <v>46</v>
      </c>
      <c r="B49" s="90" t="s">
        <v>14</v>
      </c>
      <c r="C49" s="70">
        <f>VLOOKUP(B49,[3]AKSoftSalesReport!$B$2:$C$87,2,0)</f>
        <v>522808.39000000013</v>
      </c>
      <c r="D49" s="7">
        <f t="shared" si="6"/>
        <v>7.1002464930449233E-2</v>
      </c>
      <c r="E49" s="85">
        <f t="shared" si="7"/>
        <v>705764.50140866532</v>
      </c>
      <c r="F49" s="70">
        <v>469951</v>
      </c>
      <c r="G49" s="7">
        <f t="shared" si="8"/>
        <v>6.3823917203259764E-2</v>
      </c>
      <c r="H49" s="85">
        <f t="shared" si="9"/>
        <v>634409.73700040206</v>
      </c>
      <c r="I49" s="70">
        <v>544111</v>
      </c>
      <c r="J49" s="7">
        <f t="shared" si="10"/>
        <v>7.3895566587543968E-2</v>
      </c>
      <c r="K49" s="85">
        <f t="shared" si="11"/>
        <v>734521.93188018701</v>
      </c>
      <c r="L49" s="6">
        <v>581679</v>
      </c>
      <c r="M49" s="7">
        <f t="shared" si="12"/>
        <v>7.8997666426659244E-2</v>
      </c>
      <c r="N49" s="85">
        <f t="shared" si="13"/>
        <v>785236.80428099283</v>
      </c>
      <c r="O49" s="6">
        <v>660706</v>
      </c>
      <c r="P49" s="7">
        <f t="shared" si="14"/>
        <v>8.973030175421895E-2</v>
      </c>
      <c r="Q49" s="85">
        <f t="shared" si="15"/>
        <v>891919.19943693641</v>
      </c>
      <c r="R49" s="6">
        <v>691505</v>
      </c>
      <c r="S49" s="7">
        <f t="shared" si="16"/>
        <v>9.3913105548536213E-2</v>
      </c>
      <c r="T49" s="85">
        <f t="shared" si="17"/>
        <v>933496.26915244991</v>
      </c>
      <c r="U49" s="71">
        <f>VLOOKUP(B49,[9]AKSoftSalesReport!$B$2:$C$94,2,0)</f>
        <v>666875</v>
      </c>
      <c r="V49" s="7">
        <f t="shared" si="18"/>
        <v>9.0568111962574513E-2</v>
      </c>
      <c r="W49" s="85">
        <f t="shared" si="19"/>
        <v>900247.03290799062</v>
      </c>
      <c r="X49" s="71">
        <f>VLOOKUP(B49,[10]AKSoftSalesReport!$B$2:$C$94,2,0)</f>
        <v>624297</v>
      </c>
      <c r="Y49" s="7">
        <f t="shared" si="20"/>
        <v>8.4785605389164964E-2</v>
      </c>
      <c r="Z49" s="85">
        <f t="shared" si="21"/>
        <v>842768.91756829969</v>
      </c>
      <c r="AA49" s="71">
        <f>VLOOKUP(B49,[11]AKSoftSalesReport!$B$2:$C$94,2,0)</f>
        <v>711919</v>
      </c>
      <c r="AB49" s="7">
        <f t="shared" si="22"/>
        <v>9.6685525323762456E-2</v>
      </c>
      <c r="AC49" s="85">
        <f t="shared" si="23"/>
        <v>961054.12171819876</v>
      </c>
      <c r="AD49" s="51">
        <f>VLOOKUP(B49,[12]AKSoftSalesReport!$B$2:$C$89,2,0)</f>
        <v>653448</v>
      </c>
      <c r="AE49" s="7">
        <f t="shared" si="24"/>
        <v>8.8744594752720368E-2</v>
      </c>
      <c r="AF49" s="85">
        <f t="shared" si="25"/>
        <v>882121.27184204047</v>
      </c>
      <c r="AG49" s="154">
        <f>VLOOKUP(B49,[13]AKSoftSalesReport!$B$2:$C$90,2,0)</f>
        <v>638181</v>
      </c>
      <c r="AH49" s="7">
        <f t="shared" si="26"/>
        <v>8.667118764444276E-2</v>
      </c>
      <c r="AI49" s="85">
        <f t="shared" si="27"/>
        <v>861511.605185761</v>
      </c>
      <c r="AJ49" s="104">
        <f>VLOOKUP(B49,[14]AKSoftSalesReport!$A:$D,4,0)</f>
        <v>603202.42857142864</v>
      </c>
      <c r="AK49" s="7">
        <f t="shared" si="28"/>
        <v>8.1920757393745464E-2</v>
      </c>
      <c r="AL49" s="85">
        <f t="shared" si="29"/>
        <v>814292.32849382993</v>
      </c>
      <c r="AM49" s="6">
        <f t="shared" si="4"/>
        <v>7368682.8185714297</v>
      </c>
      <c r="AN49" s="6"/>
      <c r="AO49" s="73">
        <v>7363242.8185714297</v>
      </c>
      <c r="AP49" s="87">
        <f t="shared" si="30"/>
        <v>9940377.8050714303</v>
      </c>
      <c r="AQ49" s="237">
        <v>0.35</v>
      </c>
      <c r="AR49" s="25">
        <v>9940000</v>
      </c>
      <c r="AS49" s="240">
        <f t="shared" si="31"/>
        <v>9947343.720875755</v>
      </c>
      <c r="AT49" s="31">
        <f t="shared" si="32"/>
        <v>7343.7208757549524</v>
      </c>
      <c r="AU49" s="28">
        <f t="shared" si="5"/>
        <v>-5440</v>
      </c>
      <c r="AZ49" s="28">
        <v>186596</v>
      </c>
      <c r="BA49" s="28">
        <f t="shared" si="33"/>
        <v>395083</v>
      </c>
      <c r="BB49" s="253">
        <v>175607</v>
      </c>
      <c r="BC49" s="28">
        <v>581679</v>
      </c>
      <c r="BD49" s="28">
        <f>VLOOKUP(B49,[20]AKSoftSalesReport!$A:$B,2,0)</f>
        <v>107953</v>
      </c>
      <c r="BE49" s="28">
        <f t="shared" si="34"/>
        <v>552753</v>
      </c>
      <c r="BF49" s="28">
        <f>VLOOKUP(B49,[21]AKSoftSalesReport!$A:$B,2,0)</f>
        <v>79363</v>
      </c>
      <c r="BG49" s="28">
        <v>660706</v>
      </c>
      <c r="BH49" s="28">
        <v>79363</v>
      </c>
      <c r="BI49" s="28">
        <f t="shared" si="35"/>
        <v>612142</v>
      </c>
      <c r="BJ49" s="28">
        <f>VLOOKUP(B49,[22]AKSoftSalesReport!$A:$B,2,0)</f>
        <v>113393</v>
      </c>
      <c r="BK49" s="28">
        <v>691505</v>
      </c>
    </row>
    <row r="50" spans="1:63" x14ac:dyDescent="0.3">
      <c r="A50" s="239">
        <v>47</v>
      </c>
      <c r="B50" s="89" t="s">
        <v>15</v>
      </c>
      <c r="C50" s="70">
        <f>VLOOKUP(B50,[3]AKSoftSalesReport!$B$2:$C$87,2,0)</f>
        <v>780934.20000000019</v>
      </c>
      <c r="D50" s="7">
        <f t="shared" si="6"/>
        <v>9.7116989105398774E-2</v>
      </c>
      <c r="E50" s="85">
        <f t="shared" si="7"/>
        <v>937178.94486709812</v>
      </c>
      <c r="F50" s="70">
        <v>517103</v>
      </c>
      <c r="G50" s="7">
        <f t="shared" si="8"/>
        <v>6.4306937021542929E-2</v>
      </c>
      <c r="H50" s="85">
        <f t="shared" si="9"/>
        <v>620561.94225788931</v>
      </c>
      <c r="I50" s="70">
        <v>690723</v>
      </c>
      <c r="J50" s="7">
        <f t="shared" si="10"/>
        <v>8.5898322887956943E-2</v>
      </c>
      <c r="K50" s="85">
        <f t="shared" si="11"/>
        <v>828918.81586878456</v>
      </c>
      <c r="L50" s="6">
        <v>734839</v>
      </c>
      <c r="M50" s="7">
        <f t="shared" si="12"/>
        <v>9.1384589325479812E-2</v>
      </c>
      <c r="N50" s="85">
        <f t="shared" si="13"/>
        <v>881861.28699088015</v>
      </c>
      <c r="O50" s="6">
        <v>756940.03</v>
      </c>
      <c r="P50" s="7">
        <f t="shared" si="14"/>
        <v>9.4133073755702096E-2</v>
      </c>
      <c r="Q50" s="85">
        <f t="shared" si="15"/>
        <v>908384.16174252518</v>
      </c>
      <c r="R50" s="6">
        <v>740514</v>
      </c>
      <c r="S50" s="7">
        <f t="shared" si="16"/>
        <v>9.209033241263509E-2</v>
      </c>
      <c r="T50" s="85">
        <f t="shared" si="17"/>
        <v>888671.70778192859</v>
      </c>
      <c r="U50" s="71">
        <f>VLOOKUP(B50,[9]AKSoftSalesReport!$B$2:$C$94,2,0)</f>
        <v>824555</v>
      </c>
      <c r="V50" s="7">
        <f t="shared" si="18"/>
        <v>0.10254167246331646</v>
      </c>
      <c r="W50" s="85">
        <f t="shared" si="19"/>
        <v>989527.13927100378</v>
      </c>
      <c r="X50" s="71">
        <f>VLOOKUP(B50,[10]AKSoftSalesReport!$B$2:$C$94,2,0)</f>
        <v>657061</v>
      </c>
      <c r="Y50" s="7">
        <f t="shared" si="20"/>
        <v>8.1712116050984079E-2</v>
      </c>
      <c r="Z50" s="85">
        <f t="shared" si="21"/>
        <v>788521.91989199631</v>
      </c>
      <c r="AA50" s="71">
        <f>VLOOKUP(B50,[11]AKSoftSalesReport!$B$2:$C$94,2,0)</f>
        <v>624123</v>
      </c>
      <c r="AB50" s="7">
        <f t="shared" si="22"/>
        <v>7.7615945865130237E-2</v>
      </c>
      <c r="AC50" s="85">
        <f t="shared" si="23"/>
        <v>748993.87759850675</v>
      </c>
      <c r="AD50" s="51">
        <f>VLOOKUP(B50,[12]AKSoftSalesReport!$B$2:$C$89,2,0)</f>
        <v>569325</v>
      </c>
      <c r="AE50" s="7">
        <f t="shared" si="24"/>
        <v>7.0801265743555789E-2</v>
      </c>
      <c r="AF50" s="85">
        <f t="shared" si="25"/>
        <v>683232.2144253134</v>
      </c>
      <c r="AG50" s="154">
        <f>VLOOKUP(B50,[13]AKSoftSalesReport!$B$2:$C$90,2,0)</f>
        <v>600254</v>
      </c>
      <c r="AH50" s="7">
        <f t="shared" si="26"/>
        <v>7.4647596658555901E-2</v>
      </c>
      <c r="AI50" s="85">
        <f t="shared" si="27"/>
        <v>720349.30775506445</v>
      </c>
      <c r="AJ50" s="104">
        <f>VLOOKUP(B50,[14]AKSoftSalesReport!$A:$D,4,0)</f>
        <v>529072.57142857136</v>
      </c>
      <c r="AK50" s="7">
        <f t="shared" si="28"/>
        <v>6.5795473108225852E-2</v>
      </c>
      <c r="AL50" s="85">
        <f t="shared" si="29"/>
        <v>634926.31549437949</v>
      </c>
      <c r="AM50" s="6">
        <f t="shared" si="4"/>
        <v>8025443.8014285713</v>
      </c>
      <c r="AN50" s="6"/>
      <c r="AO50" s="73">
        <v>8041169.8014285713</v>
      </c>
      <c r="AP50" s="87">
        <f t="shared" si="30"/>
        <v>9649403.7617142852</v>
      </c>
      <c r="AQ50" s="237">
        <v>0.2</v>
      </c>
      <c r="AR50" s="25">
        <v>9650000</v>
      </c>
      <c r="AS50" s="240">
        <f t="shared" si="31"/>
        <v>9631127.6339453701</v>
      </c>
      <c r="AT50" s="31">
        <f t="shared" si="32"/>
        <v>-18872.366054629907</v>
      </c>
      <c r="AU50" s="28">
        <f t="shared" si="5"/>
        <v>15726</v>
      </c>
      <c r="AZ50" s="28">
        <v>261146</v>
      </c>
      <c r="BA50" s="28">
        <f t="shared" si="33"/>
        <v>473693</v>
      </c>
      <c r="BB50" s="253">
        <v>237211</v>
      </c>
      <c r="BC50" s="28">
        <v>734839</v>
      </c>
      <c r="BD50" s="28">
        <f>VLOOKUP(B50,[20]AKSoftSalesReport!$A:$B,2,0)</f>
        <v>130943</v>
      </c>
      <c r="BE50" s="28">
        <f t="shared" si="34"/>
        <v>625997.03</v>
      </c>
      <c r="BF50" s="28">
        <f>VLOOKUP(B50,[21]AKSoftSalesReport!$A:$B,2,0)</f>
        <v>139428</v>
      </c>
      <c r="BG50" s="28">
        <v>756940.03</v>
      </c>
      <c r="BH50" s="28">
        <v>139428</v>
      </c>
      <c r="BI50" s="28">
        <f t="shared" si="35"/>
        <v>601086</v>
      </c>
      <c r="BJ50" s="28">
        <f>VLOOKUP(B50,[22]AKSoftSalesReport!$A:$B,2,0)</f>
        <v>115217</v>
      </c>
      <c r="BK50" s="28">
        <v>740514</v>
      </c>
    </row>
    <row r="51" spans="1:63" x14ac:dyDescent="0.3">
      <c r="A51" s="61">
        <v>48</v>
      </c>
      <c r="B51" s="106" t="s">
        <v>225</v>
      </c>
      <c r="C51" s="70">
        <f>VLOOKUP(B51,[3]AKSoftSalesReport!$B$2:$C$87,2,0)</f>
        <v>399834.06</v>
      </c>
      <c r="D51" s="7">
        <f t="shared" si="6"/>
        <v>6.5492656955548595E-2</v>
      </c>
      <c r="E51" s="85">
        <f t="shared" si="7"/>
        <v>539659.49331372045</v>
      </c>
      <c r="F51" s="70">
        <v>333177.53000000003</v>
      </c>
      <c r="G51" s="7">
        <f t="shared" si="8"/>
        <v>5.457434436072555E-2</v>
      </c>
      <c r="H51" s="85">
        <f t="shared" si="9"/>
        <v>449692.59753237851</v>
      </c>
      <c r="I51" s="70">
        <v>362572</v>
      </c>
      <c r="J51" s="7">
        <f t="shared" si="10"/>
        <v>5.9389146631698066E-2</v>
      </c>
      <c r="K51" s="85">
        <f t="shared" si="11"/>
        <v>489366.56824519206</v>
      </c>
      <c r="L51" s="6">
        <v>442183.39</v>
      </c>
      <c r="M51" s="7">
        <f t="shared" si="12"/>
        <v>7.2429460043277841E-2</v>
      </c>
      <c r="N51" s="85">
        <f t="shared" si="13"/>
        <v>596818.75075660937</v>
      </c>
      <c r="O51" s="6">
        <v>441900.35000000003</v>
      </c>
      <c r="P51" s="7">
        <f t="shared" si="14"/>
        <v>7.2383098206007912E-2</v>
      </c>
      <c r="Q51" s="85">
        <f t="shared" si="15"/>
        <v>596436.7292175052</v>
      </c>
      <c r="R51" s="6">
        <v>473418.42000000016</v>
      </c>
      <c r="S51" s="7">
        <f t="shared" si="16"/>
        <v>7.7545745296180704E-2</v>
      </c>
      <c r="T51" s="85">
        <f t="shared" si="17"/>
        <v>638976.94124052895</v>
      </c>
      <c r="U51" s="71">
        <f>VLOOKUP(B51,[9]AKSoftSalesReport!$B$2:$C$94,2,0)</f>
        <v>479519.24</v>
      </c>
      <c r="V51" s="7">
        <f t="shared" si="18"/>
        <v>7.8545057139217639E-2</v>
      </c>
      <c r="W51" s="85">
        <f t="shared" si="19"/>
        <v>647211.27082715335</v>
      </c>
      <c r="X51" s="71">
        <f>VLOOKUP(B51,[10]AKSoftSalesReport!$B$2:$C$94,2,0)</f>
        <v>716204</v>
      </c>
      <c r="Y51" s="7">
        <f t="shared" si="20"/>
        <v>0.11731392488721877</v>
      </c>
      <c r="Z51" s="85">
        <f t="shared" si="21"/>
        <v>966666.74107068265</v>
      </c>
      <c r="AA51" s="71">
        <f>VLOOKUP(B51,[11]AKSoftSalesReport!$B$2:$C$94,2,0)</f>
        <v>665686</v>
      </c>
      <c r="AB51" s="7">
        <f t="shared" si="22"/>
        <v>0.10903909696465408</v>
      </c>
      <c r="AC51" s="85">
        <f t="shared" si="23"/>
        <v>898482.15898874961</v>
      </c>
      <c r="AD51" s="51">
        <f>VLOOKUP(B51,[12]AKSoftSalesReport!$B$2:$C$89,2,0)</f>
        <v>666948</v>
      </c>
      <c r="AE51" s="7">
        <f t="shared" si="24"/>
        <v>0.10924581205310328</v>
      </c>
      <c r="AF51" s="85">
        <f t="shared" si="25"/>
        <v>900185.49131757102</v>
      </c>
      <c r="AG51" s="154">
        <f>VLOOKUP(B51,[13]AKSoftSalesReport!$B$2:$C$90,2,0)</f>
        <v>530893</v>
      </c>
      <c r="AH51" s="7">
        <f t="shared" si="26"/>
        <v>8.696005820290062E-2</v>
      </c>
      <c r="AI51" s="85">
        <f t="shared" si="27"/>
        <v>716550.87959190109</v>
      </c>
      <c r="AJ51" s="104">
        <f>VLOOKUP(B51,[14]AKSoftSalesReport!$A:$D,4,0)</f>
        <v>579877.14285714284</v>
      </c>
      <c r="AK51" s="7">
        <f t="shared" si="28"/>
        <v>9.4983640947213205E-2</v>
      </c>
      <c r="AL51" s="85">
        <f t="shared" si="29"/>
        <v>782665.20140503685</v>
      </c>
      <c r="AM51" s="6">
        <f t="shared" si="4"/>
        <v>6092213.132857142</v>
      </c>
      <c r="AN51" s="6"/>
      <c r="AO51" s="224">
        <v>6105021.2128571421</v>
      </c>
      <c r="AP51" s="87">
        <f t="shared" si="30"/>
        <v>8241778.6373571418</v>
      </c>
      <c r="AQ51" s="237">
        <v>0.35</v>
      </c>
      <c r="AR51" s="25">
        <v>8240000</v>
      </c>
      <c r="AS51" s="240">
        <f t="shared" si="31"/>
        <v>8222712.8235070286</v>
      </c>
      <c r="AT51" s="31">
        <f t="shared" si="32"/>
        <v>-17287.176492971368</v>
      </c>
      <c r="AU51" s="28">
        <f t="shared" si="5"/>
        <v>12808.080000000075</v>
      </c>
      <c r="AZ51" s="28">
        <v>147500</v>
      </c>
      <c r="BA51" s="28">
        <f t="shared" si="33"/>
        <v>294683.39</v>
      </c>
      <c r="BB51" s="253">
        <v>144790</v>
      </c>
      <c r="BC51" s="28">
        <v>442183.39</v>
      </c>
      <c r="BD51" s="28">
        <f>VLOOKUP(B51,[20]AKSoftSalesReport!$A:$B,2,0)</f>
        <v>88281.12</v>
      </c>
      <c r="BE51" s="28">
        <f t="shared" si="34"/>
        <v>353619.23000000004</v>
      </c>
      <c r="BF51" s="28">
        <f>VLOOKUP(B51,[21]AKSoftSalesReport!$A:$B,2,0)</f>
        <v>91764.14</v>
      </c>
      <c r="BG51" s="28">
        <v>441900.35000000003</v>
      </c>
      <c r="BH51" s="28">
        <v>91764.14</v>
      </c>
      <c r="BI51" s="28">
        <f t="shared" si="35"/>
        <v>381654.28000000014</v>
      </c>
      <c r="BJ51" s="28">
        <f>VLOOKUP(B51,[22]AKSoftSalesReport!$A:$B,2,0)</f>
        <v>75473.039999999994</v>
      </c>
      <c r="BK51" s="28">
        <v>473418.42000000016</v>
      </c>
    </row>
    <row r="52" spans="1:63" x14ac:dyDescent="0.3">
      <c r="A52" s="239">
        <v>49</v>
      </c>
      <c r="B52" s="89" t="s">
        <v>86</v>
      </c>
      <c r="C52" s="70">
        <f>VLOOKUP(B52,[3]AKSoftSalesReport!$B$2:$C$87,2,0)</f>
        <v>1747918.0800000017</v>
      </c>
      <c r="D52" s="7">
        <f t="shared" si="6"/>
        <v>7.7489693187419481E-2</v>
      </c>
      <c r="E52" s="85">
        <f t="shared" si="7"/>
        <v>2097645.9945834451</v>
      </c>
      <c r="F52" s="70">
        <v>1455601.1</v>
      </c>
      <c r="G52" s="7">
        <f t="shared" si="8"/>
        <v>6.4530531455038329E-2</v>
      </c>
      <c r="H52" s="85">
        <f t="shared" si="9"/>
        <v>1746841.4864878876</v>
      </c>
      <c r="I52" s="70">
        <v>1274709</v>
      </c>
      <c r="J52" s="7">
        <f t="shared" si="10"/>
        <v>5.6511120540181266E-2</v>
      </c>
      <c r="K52" s="85">
        <f t="shared" si="11"/>
        <v>1529756.0330227069</v>
      </c>
      <c r="L52" s="6">
        <v>1774594.1800000004</v>
      </c>
      <c r="M52" s="7">
        <f t="shared" si="12"/>
        <v>7.867231314432091E-2</v>
      </c>
      <c r="N52" s="85">
        <f t="shared" si="13"/>
        <v>2129659.5168167669</v>
      </c>
      <c r="O52" s="6">
        <v>2100974.4800000004</v>
      </c>
      <c r="P52" s="7">
        <f t="shared" si="14"/>
        <v>9.3141589249879531E-2</v>
      </c>
      <c r="Q52" s="85">
        <f t="shared" si="15"/>
        <v>2521342.8209942388</v>
      </c>
      <c r="R52" s="6">
        <v>1972773.9700000009</v>
      </c>
      <c r="S52" s="7">
        <f t="shared" si="16"/>
        <v>8.7458131712572829E-2</v>
      </c>
      <c r="T52" s="85">
        <f t="shared" si="17"/>
        <v>2367491.6254593465</v>
      </c>
      <c r="U52" s="71">
        <f>VLOOKUP(B52,[9]AKSoftSalesReport!$B$2:$C$94,2,0)</f>
        <v>2023596.0300000017</v>
      </c>
      <c r="V52" s="7">
        <f t="shared" si="18"/>
        <v>8.9711204028497776E-2</v>
      </c>
      <c r="W52" s="85">
        <f t="shared" si="19"/>
        <v>2428482.2930514347</v>
      </c>
      <c r="X52" s="71">
        <f>VLOOKUP(B52,[10]AKSoftSalesReport!$B$2:$C$94,2,0)</f>
        <v>2006855.8300000015</v>
      </c>
      <c r="Y52" s="7">
        <f t="shared" si="20"/>
        <v>8.8969068011519187E-2</v>
      </c>
      <c r="Z52" s="85">
        <f t="shared" si="21"/>
        <v>2408392.6710718246</v>
      </c>
      <c r="AA52" s="71">
        <f>VLOOKUP(B52,[11]AKSoftSalesReport!$B$2:$C$94,2,0)</f>
        <v>1987149.2000000002</v>
      </c>
      <c r="AB52" s="7">
        <f t="shared" si="22"/>
        <v>8.8095422541556376E-2</v>
      </c>
      <c r="AC52" s="85">
        <f t="shared" si="23"/>
        <v>2384743.0881999312</v>
      </c>
      <c r="AD52" s="51">
        <f>VLOOKUP(B52,[12]AKSoftSalesReport!$B$2:$C$89,2,0)</f>
        <v>2215447.5900000008</v>
      </c>
      <c r="AE52" s="7">
        <f t="shared" si="24"/>
        <v>9.8216475924265176E-2</v>
      </c>
      <c r="AF52" s="85">
        <f t="shared" si="25"/>
        <v>2658720.0032698582</v>
      </c>
      <c r="AG52" s="154">
        <f>VLOOKUP(B52,[13]AKSoftSalesReport!$B$2:$C$90,2,0)</f>
        <v>2007521.4800000004</v>
      </c>
      <c r="AH52" s="7">
        <f t="shared" si="26"/>
        <v>8.8998577983903093E-2</v>
      </c>
      <c r="AI52" s="85">
        <f t="shared" si="27"/>
        <v>2409191.5060242568</v>
      </c>
      <c r="AJ52" s="104">
        <f>VLOOKUP(B52,[14]AKSoftSalesReport!$A:$D,4,0)</f>
        <v>1950752.3892857151</v>
      </c>
      <c r="AK52" s="7">
        <f t="shared" si="28"/>
        <v>8.6481858537887202E-2</v>
      </c>
      <c r="AL52" s="85">
        <f t="shared" si="29"/>
        <v>2341063.9106206065</v>
      </c>
      <c r="AM52" s="6">
        <f t="shared" si="4"/>
        <v>22517893.329285726</v>
      </c>
      <c r="AN52" s="101"/>
      <c r="AO52" s="73">
        <v>22556781.529285725</v>
      </c>
      <c r="AP52" s="87">
        <f t="shared" si="30"/>
        <v>27068137.83514287</v>
      </c>
      <c r="AQ52" s="237">
        <v>0.2</v>
      </c>
      <c r="AR52" s="1">
        <v>27070000</v>
      </c>
      <c r="AS52" s="240">
        <f t="shared" si="31"/>
        <v>27023330.949602306</v>
      </c>
      <c r="AT52" s="31">
        <f t="shared" si="32"/>
        <v>-46669.050397694111</v>
      </c>
      <c r="AU52" s="28">
        <f t="shared" si="5"/>
        <v>38888.199999999255</v>
      </c>
      <c r="AZ52" s="28">
        <v>535988</v>
      </c>
      <c r="BA52" s="28">
        <f t="shared" si="33"/>
        <v>1238606.1800000004</v>
      </c>
      <c r="BB52" s="253">
        <v>529965.5</v>
      </c>
      <c r="BC52" s="28">
        <v>1774594.1800000004</v>
      </c>
      <c r="BD52" s="28">
        <f>VLOOKUP(B52,[20]AKSoftSalesReport!$A:$B,2,0)</f>
        <v>343821.20000000007</v>
      </c>
      <c r="BE52" s="28">
        <f t="shared" si="34"/>
        <v>1757153.2800000003</v>
      </c>
      <c r="BF52" s="28">
        <f>VLOOKUP(B52,[21]AKSoftSalesReport!$A:$B,2,0)</f>
        <v>319221</v>
      </c>
      <c r="BG52" s="28">
        <v>2100974.4800000004</v>
      </c>
      <c r="BH52" s="28">
        <v>319221</v>
      </c>
      <c r="BI52" s="28">
        <f t="shared" si="35"/>
        <v>1653552.9700000009</v>
      </c>
      <c r="BJ52" s="28">
        <f>VLOOKUP(B52,[22]AKSoftSalesReport!$A:$B,2,0)</f>
        <v>304933</v>
      </c>
      <c r="BK52" s="28">
        <v>1972773.9700000009</v>
      </c>
    </row>
    <row r="53" spans="1:63" x14ac:dyDescent="0.3">
      <c r="A53" s="61">
        <v>50</v>
      </c>
      <c r="B53" s="90" t="s">
        <v>78</v>
      </c>
      <c r="C53" s="70">
        <f>VLOOKUP(B53,[3]AKSoftSalesReport!$B$2:$C$87,2,0)</f>
        <v>101997</v>
      </c>
      <c r="D53" s="7">
        <f t="shared" si="6"/>
        <v>3.7556962410844955E-2</v>
      </c>
      <c r="E53" s="85">
        <f t="shared" si="7"/>
        <v>117365.50753389049</v>
      </c>
      <c r="F53" s="70">
        <v>160664</v>
      </c>
      <c r="G53" s="7">
        <f t="shared" si="8"/>
        <v>5.9159110648117047E-2</v>
      </c>
      <c r="H53" s="85">
        <f t="shared" si="9"/>
        <v>184872.22077536577</v>
      </c>
      <c r="I53" s="70">
        <v>122247</v>
      </c>
      <c r="J53" s="7">
        <f t="shared" si="10"/>
        <v>4.501334337126154E-2</v>
      </c>
      <c r="K53" s="85">
        <f t="shared" si="11"/>
        <v>140666.6980351923</v>
      </c>
      <c r="L53" s="6">
        <v>318929</v>
      </c>
      <c r="M53" s="7">
        <f t="shared" si="12"/>
        <v>0.11743487028763955</v>
      </c>
      <c r="N53" s="85">
        <f t="shared" si="13"/>
        <v>366983.96964887361</v>
      </c>
      <c r="O53" s="6">
        <v>160452</v>
      </c>
      <c r="P53" s="7">
        <f t="shared" si="14"/>
        <v>5.9081048783247499E-2</v>
      </c>
      <c r="Q53" s="85">
        <f t="shared" si="15"/>
        <v>184628.27744764843</v>
      </c>
      <c r="R53" s="6">
        <v>48749</v>
      </c>
      <c r="S53" s="7">
        <f t="shared" si="16"/>
        <v>1.7950178540214721E-2</v>
      </c>
      <c r="T53" s="85">
        <f t="shared" si="17"/>
        <v>56094.307938171005</v>
      </c>
      <c r="U53" s="71">
        <f>VLOOKUP(B53,[9]AKSoftSalesReport!$B$2:$C$94,2,0)</f>
        <v>41231</v>
      </c>
      <c r="V53" s="7">
        <f t="shared" si="18"/>
        <v>1.5181928068095615E-2</v>
      </c>
      <c r="W53" s="85">
        <f t="shared" si="19"/>
        <v>47443.525212798799</v>
      </c>
      <c r="X53" s="71">
        <f>VLOOKUP(B53,[10]AKSoftSalesReport!$B$2:$C$94,2,0)</f>
        <v>48443</v>
      </c>
      <c r="Y53" s="7">
        <f t="shared" si="20"/>
        <v>1.7837504339035092E-2</v>
      </c>
      <c r="Z53" s="85">
        <f t="shared" si="21"/>
        <v>55742.201059484665</v>
      </c>
      <c r="AA53" s="71">
        <f>VLOOKUP(B53,[11]AKSoftSalesReport!$B$2:$C$94,2,0)</f>
        <v>170712</v>
      </c>
      <c r="AB53" s="7">
        <f t="shared" si="22"/>
        <v>6.2858948469858567E-2</v>
      </c>
      <c r="AC53" s="85">
        <f t="shared" si="23"/>
        <v>196434.21396830803</v>
      </c>
      <c r="AD53" s="51">
        <f>VLOOKUP(B53,[12]AKSoftSalesReport!$B$2:$C$89,2,0)</f>
        <v>611336</v>
      </c>
      <c r="AE53" s="7">
        <f t="shared" si="24"/>
        <v>0.22510390670702385</v>
      </c>
      <c r="AF53" s="85">
        <f t="shared" si="25"/>
        <v>703449.70845944958</v>
      </c>
      <c r="AG53" s="154">
        <f>VLOOKUP(B53,[13]AKSoftSalesReport!$B$2:$C$90,2,0)</f>
        <v>522279</v>
      </c>
      <c r="AH53" s="7">
        <f t="shared" si="26"/>
        <v>0.19231166378397102</v>
      </c>
      <c r="AI53" s="85">
        <f t="shared" si="27"/>
        <v>600973.94932490948</v>
      </c>
      <c r="AJ53" s="104">
        <f>VLOOKUP(B53,[14]AKSoftSalesReport!$A:$D,4,0)</f>
        <v>401126.71428571432</v>
      </c>
      <c r="AK53" s="7">
        <f t="shared" si="28"/>
        <v>0.14770141210441795</v>
      </c>
      <c r="AL53" s="85">
        <f t="shared" si="29"/>
        <v>461566.91282630607</v>
      </c>
      <c r="AM53" s="6">
        <f t="shared" si="4"/>
        <v>2708165.7142857146</v>
      </c>
      <c r="AN53" s="6"/>
      <c r="AO53" s="73">
        <v>2715794.7142857146</v>
      </c>
      <c r="AP53" s="87">
        <f t="shared" si="30"/>
        <v>3123163.9214285719</v>
      </c>
      <c r="AQ53" s="237">
        <v>0.15</v>
      </c>
      <c r="AR53" s="3">
        <v>3125000</v>
      </c>
      <c r="AS53" s="240">
        <f t="shared" si="31"/>
        <v>3116221.4922303981</v>
      </c>
      <c r="AT53" s="31">
        <f t="shared" si="32"/>
        <v>-8778.5077696018852</v>
      </c>
      <c r="AU53" s="28">
        <f t="shared" si="5"/>
        <v>7629</v>
      </c>
      <c r="AZ53" s="28">
        <v>91205</v>
      </c>
      <c r="BA53" s="28">
        <f t="shared" si="33"/>
        <v>227724</v>
      </c>
      <c r="BB53" s="253">
        <v>145015</v>
      </c>
      <c r="BC53" s="28">
        <v>318929</v>
      </c>
      <c r="BD53" s="28">
        <f>VLOOKUP(B53,[20]AKSoftSalesReport!$A:$B,2,0)</f>
        <v>19194</v>
      </c>
      <c r="BE53" s="28">
        <f t="shared" si="34"/>
        <v>141258</v>
      </c>
      <c r="BF53" s="28">
        <v>0</v>
      </c>
      <c r="BG53" s="28">
        <v>160452</v>
      </c>
      <c r="BH53" s="28">
        <v>0</v>
      </c>
      <c r="BI53" s="28">
        <f t="shared" si="35"/>
        <v>48749</v>
      </c>
      <c r="BJ53" s="28">
        <f>VLOOKUP(B53,[22]AKSoftSalesReport!$A:$B,2,0)</f>
        <v>11565</v>
      </c>
      <c r="BK53" s="28">
        <v>48749</v>
      </c>
    </row>
    <row r="54" spans="1:63" x14ac:dyDescent="0.3">
      <c r="A54" s="239">
        <v>51</v>
      </c>
      <c r="B54" s="89" t="s">
        <v>61</v>
      </c>
      <c r="C54" s="70">
        <f>VLOOKUP(B54,[3]AKSoftSalesReport!$B$2:$C$87,2,0)</f>
        <v>281868.88000000059</v>
      </c>
      <c r="D54" s="7">
        <f t="shared" si="6"/>
        <v>5.6407020331595982E-2</v>
      </c>
      <c r="E54" s="85">
        <f t="shared" si="7"/>
        <v>380747.38723827287</v>
      </c>
      <c r="F54" s="70">
        <v>408593</v>
      </c>
      <c r="G54" s="7">
        <f t="shared" si="8"/>
        <v>8.1766790496161715E-2</v>
      </c>
      <c r="H54" s="85">
        <f t="shared" si="9"/>
        <v>551925.83584909153</v>
      </c>
      <c r="I54" s="70">
        <v>198803</v>
      </c>
      <c r="J54" s="7">
        <f t="shared" si="10"/>
        <v>3.9784047330738509E-2</v>
      </c>
      <c r="K54" s="85">
        <f t="shared" si="11"/>
        <v>268542.31948248495</v>
      </c>
      <c r="L54" s="6">
        <v>363191.95999999996</v>
      </c>
      <c r="M54" s="7">
        <f t="shared" si="12"/>
        <v>7.2681227782194865E-2</v>
      </c>
      <c r="N54" s="85">
        <f t="shared" si="13"/>
        <v>490598.28752981534</v>
      </c>
      <c r="O54" s="6">
        <v>180803</v>
      </c>
      <c r="P54" s="7">
        <f t="shared" si="14"/>
        <v>3.6181924365022232E-2</v>
      </c>
      <c r="Q54" s="85">
        <f t="shared" si="15"/>
        <v>244227.98946390007</v>
      </c>
      <c r="R54" s="6">
        <v>189899</v>
      </c>
      <c r="S54" s="7">
        <f t="shared" si="16"/>
        <v>3.8002197170364189E-2</v>
      </c>
      <c r="T54" s="85">
        <f t="shared" si="17"/>
        <v>256514.83089995827</v>
      </c>
      <c r="U54" s="71">
        <f>VLOOKUP(B54,[9]AKSoftSalesReport!$B$2:$C$94,2,0)</f>
        <v>132809</v>
      </c>
      <c r="V54" s="7">
        <f t="shared" si="18"/>
        <v>2.6577463830767395E-2</v>
      </c>
      <c r="W54" s="85">
        <f t="shared" si="19"/>
        <v>179397.88085767991</v>
      </c>
      <c r="X54" s="71">
        <f>VLOOKUP(B54,[10]AKSoftSalesReport!$B$2:$C$94,2,0)</f>
        <v>122375</v>
      </c>
      <c r="Y54" s="7">
        <f t="shared" si="20"/>
        <v>2.4489433218307193E-2</v>
      </c>
      <c r="Z54" s="85">
        <f t="shared" si="21"/>
        <v>165303.67422357356</v>
      </c>
      <c r="AA54" s="71">
        <f>VLOOKUP(B54,[11]AKSoftSalesReport!$B$2:$C$94,2,0)</f>
        <v>385333</v>
      </c>
      <c r="AB54" s="7">
        <f t="shared" si="22"/>
        <v>7.7112047152686131E-2</v>
      </c>
      <c r="AC54" s="85">
        <f t="shared" si="23"/>
        <v>520506.31828063139</v>
      </c>
      <c r="AD54" s="51">
        <f>VLOOKUP(B54,[12]AKSoftSalesReport!$B$2:$C$89,2,0)</f>
        <v>964064.12000000011</v>
      </c>
      <c r="AE54" s="7">
        <f t="shared" si="24"/>
        <v>0.1929265281708363</v>
      </c>
      <c r="AF54" s="85">
        <f t="shared" si="25"/>
        <v>1302254.065153145</v>
      </c>
      <c r="AG54" s="154">
        <f>VLOOKUP(B54,[13]AKSoftSalesReport!$B$2:$C$90,2,0)</f>
        <v>924521</v>
      </c>
      <c r="AH54" s="7">
        <f t="shared" si="26"/>
        <v>0.18501324035483216</v>
      </c>
      <c r="AI54" s="85">
        <f t="shared" si="27"/>
        <v>1248839.3723951171</v>
      </c>
      <c r="AJ54" s="104">
        <f>VLOOKUP(B54,[14]AKSoftSalesReport!$A:$D,4,0)</f>
        <v>859756.2142857142</v>
      </c>
      <c r="AK54" s="7">
        <f t="shared" si="28"/>
        <v>0.17205264468865869</v>
      </c>
      <c r="AL54" s="85">
        <f t="shared" si="29"/>
        <v>1161355.3516484462</v>
      </c>
      <c r="AM54" s="6">
        <f t="shared" si="4"/>
        <v>5012017.1742857154</v>
      </c>
      <c r="AN54" s="6"/>
      <c r="AO54" s="103">
        <v>4997053.1742857154</v>
      </c>
      <c r="AP54" s="87">
        <f t="shared" si="30"/>
        <v>6746021.7852857159</v>
      </c>
      <c r="AQ54" s="237">
        <v>0.35</v>
      </c>
      <c r="AR54" s="3">
        <v>6750000</v>
      </c>
      <c r="AS54" s="240">
        <f t="shared" si="31"/>
        <v>6770213.3130221153</v>
      </c>
      <c r="AT54" s="31">
        <f t="shared" si="32"/>
        <v>20213.313022115268</v>
      </c>
      <c r="AU54" s="28">
        <f t="shared" si="5"/>
        <v>-14964</v>
      </c>
      <c r="AZ54" s="28">
        <v>144332</v>
      </c>
      <c r="BA54" s="28">
        <f t="shared" si="33"/>
        <v>218859.95999999996</v>
      </c>
      <c r="BB54" s="253">
        <v>202098.96</v>
      </c>
      <c r="BC54" s="28">
        <v>363191.95999999996</v>
      </c>
      <c r="BD54" s="28">
        <f>VLOOKUP(B54,[20]AKSoftSalesReport!$A:$B,2,0)</f>
        <v>24988</v>
      </c>
      <c r="BE54" s="28">
        <f t="shared" si="34"/>
        <v>155815</v>
      </c>
      <c r="BF54" s="28">
        <v>0</v>
      </c>
      <c r="BG54" s="28">
        <v>180803</v>
      </c>
      <c r="BH54" s="28">
        <v>0</v>
      </c>
      <c r="BI54" s="28">
        <f t="shared" si="35"/>
        <v>189899</v>
      </c>
      <c r="BJ54" s="28">
        <f>VLOOKUP(B54,[22]AKSoftSalesReport!$A:$B,2,0)</f>
        <v>39952</v>
      </c>
      <c r="BK54" s="28">
        <v>189899</v>
      </c>
    </row>
    <row r="55" spans="1:63" ht="15.75" customHeight="1" x14ac:dyDescent="0.3">
      <c r="A55" s="61">
        <v>52</v>
      </c>
      <c r="B55" s="90" t="s">
        <v>112</v>
      </c>
      <c r="C55" s="70">
        <f>VLOOKUP(B55,[3]AKSoftSalesReport!$B$2:$C$87,2,0)</f>
        <v>849447.12000000069</v>
      </c>
      <c r="D55" s="7">
        <f t="shared" si="6"/>
        <v>6.8526105610533045E-2</v>
      </c>
      <c r="E55" s="85">
        <f t="shared" si="7"/>
        <v>1146784.3773922706</v>
      </c>
      <c r="F55" s="70">
        <v>702984.5</v>
      </c>
      <c r="G55" s="7">
        <f t="shared" si="8"/>
        <v>5.6710758039379458E-2</v>
      </c>
      <c r="H55" s="85">
        <f t="shared" si="9"/>
        <v>949054.53578901524</v>
      </c>
      <c r="I55" s="70">
        <v>398906</v>
      </c>
      <c r="J55" s="7">
        <f t="shared" si="10"/>
        <v>3.2180313572286019E-2</v>
      </c>
      <c r="K55" s="85">
        <f t="shared" si="11"/>
        <v>538537.54763220658</v>
      </c>
      <c r="L55" s="6">
        <v>1037516.5</v>
      </c>
      <c r="M55" s="7">
        <f t="shared" si="12"/>
        <v>8.3697929603517351E-2</v>
      </c>
      <c r="N55" s="85">
        <f t="shared" si="13"/>
        <v>1400684.8519148629</v>
      </c>
      <c r="O55" s="6">
        <v>1052783.99</v>
      </c>
      <c r="P55" s="7">
        <f t="shared" si="14"/>
        <v>8.4929579705701169E-2</v>
      </c>
      <c r="Q55" s="85">
        <f t="shared" si="15"/>
        <v>1421296.5163749091</v>
      </c>
      <c r="R55" s="6">
        <v>1055803.6800000016</v>
      </c>
      <c r="S55" s="7">
        <f t="shared" si="16"/>
        <v>8.5173182386761734E-2</v>
      </c>
      <c r="T55" s="85">
        <f t="shared" si="17"/>
        <v>1425373.2072424577</v>
      </c>
      <c r="U55" s="71">
        <f>VLOOKUP(B55,[9]AKSoftSalesReport!$B$2:$C$94,2,0)</f>
        <v>1162597</v>
      </c>
      <c r="V55" s="7">
        <f t="shared" si="18"/>
        <v>9.3788351185991214E-2</v>
      </c>
      <c r="W55" s="85">
        <f t="shared" si="19"/>
        <v>1569548.0570975631</v>
      </c>
      <c r="X55" s="71">
        <f>VLOOKUP(B55,[10]AKSoftSalesReport!$B$2:$C$94,2,0)</f>
        <v>1222019.1400000001</v>
      </c>
      <c r="Y55" s="7">
        <f t="shared" si="20"/>
        <v>9.8582019614985222E-2</v>
      </c>
      <c r="Z55" s="85">
        <f t="shared" si="21"/>
        <v>1649770.0982567777</v>
      </c>
      <c r="AA55" s="71">
        <f>VLOOKUP(B55,[11]AKSoftSalesReport!$B$2:$C$94,2,0)</f>
        <v>1272293.2200000002</v>
      </c>
      <c r="AB55" s="7">
        <f t="shared" si="22"/>
        <v>0.1026377010511085</v>
      </c>
      <c r="AC55" s="85">
        <f t="shared" si="23"/>
        <v>1717641.9270903007</v>
      </c>
      <c r="AD55" s="51">
        <f>VLOOKUP(B55,[12]AKSoftSalesReport!$B$2:$C$89,2,0)</f>
        <v>1353127</v>
      </c>
      <c r="AE55" s="7">
        <f t="shared" si="24"/>
        <v>0.10915867688910838</v>
      </c>
      <c r="AF55" s="85">
        <f t="shared" si="25"/>
        <v>1826770.4577392288</v>
      </c>
      <c r="AG55" s="154">
        <f>VLOOKUP(B55,[13]AKSoftSalesReport!$B$2:$C$90,2,0)</f>
        <v>1110107</v>
      </c>
      <c r="AH55" s="7">
        <f t="shared" si="26"/>
        <v>8.955390833627401E-2</v>
      </c>
      <c r="AI55" s="85">
        <f t="shared" si="27"/>
        <v>1498684.6560075455</v>
      </c>
      <c r="AJ55" s="104">
        <f>VLOOKUP(B55,[14]AKSoftSalesReport!$A:$D,4,0)</f>
        <v>1158844.2142857143</v>
      </c>
      <c r="AK55" s="7">
        <f t="shared" si="28"/>
        <v>9.3485608632469061E-2</v>
      </c>
      <c r="AL55" s="85">
        <f t="shared" si="29"/>
        <v>1564481.6604643697</v>
      </c>
      <c r="AM55" s="6">
        <f t="shared" si="4"/>
        <v>12376429.364285719</v>
      </c>
      <c r="AN55" s="101"/>
      <c r="AO55" s="73">
        <v>12395963.734285718</v>
      </c>
      <c r="AP55" s="87">
        <f t="shared" si="30"/>
        <v>16734551.04128572</v>
      </c>
      <c r="AQ55" s="237">
        <v>0.35</v>
      </c>
      <c r="AR55" s="1">
        <v>16735000</v>
      </c>
      <c r="AS55" s="240">
        <f t="shared" si="31"/>
        <v>16708627.893001508</v>
      </c>
      <c r="AT55" s="31">
        <f t="shared" si="32"/>
        <v>-26372.106998492032</v>
      </c>
      <c r="AU55" s="28">
        <f t="shared" si="5"/>
        <v>19534.36999999918</v>
      </c>
      <c r="AZ55" s="28">
        <v>227026</v>
      </c>
      <c r="BA55" s="28">
        <f t="shared" si="33"/>
        <v>810490.5</v>
      </c>
      <c r="BB55" s="253">
        <v>367329.5</v>
      </c>
      <c r="BC55" s="28">
        <v>1037516.5</v>
      </c>
      <c r="BD55" s="28">
        <f>VLOOKUP(B55,[20]AKSoftSalesReport!$A:$B,2,0)</f>
        <v>212266.07</v>
      </c>
      <c r="BE55" s="28">
        <f t="shared" si="34"/>
        <v>840517.91999999993</v>
      </c>
      <c r="BF55" s="28">
        <f>VLOOKUP(B55,[21]AKSoftSalesReport!$A:$B,2,0)</f>
        <v>7317</v>
      </c>
      <c r="BG55" s="28">
        <v>1052783.99</v>
      </c>
      <c r="BH55" s="28">
        <v>7317</v>
      </c>
      <c r="BI55" s="28">
        <f t="shared" si="35"/>
        <v>1048486.6800000016</v>
      </c>
      <c r="BJ55" s="28">
        <f>VLOOKUP(B55,[22]AKSoftSalesReport!$A:$B,2,0)</f>
        <v>192731.70000000019</v>
      </c>
      <c r="BK55" s="28">
        <v>1055803.6800000016</v>
      </c>
    </row>
    <row r="56" spans="1:63" ht="15.75" customHeight="1" x14ac:dyDescent="0.3">
      <c r="A56" s="239">
        <v>53</v>
      </c>
      <c r="B56" s="102" t="s">
        <v>231</v>
      </c>
      <c r="C56" s="70">
        <v>0</v>
      </c>
      <c r="D56" s="7">
        <f t="shared" si="6"/>
        <v>0</v>
      </c>
      <c r="E56" s="85">
        <f t="shared" si="7"/>
        <v>0</v>
      </c>
      <c r="F56" s="70">
        <v>0</v>
      </c>
      <c r="G56" s="7">
        <f t="shared" si="8"/>
        <v>0</v>
      </c>
      <c r="H56" s="85">
        <f t="shared" si="9"/>
        <v>0</v>
      </c>
      <c r="I56" s="70">
        <v>0</v>
      </c>
      <c r="J56" s="7">
        <f t="shared" si="10"/>
        <v>0</v>
      </c>
      <c r="K56" s="85">
        <f t="shared" si="11"/>
        <v>0</v>
      </c>
      <c r="L56" s="6">
        <v>0</v>
      </c>
      <c r="M56" s="7">
        <f t="shared" si="12"/>
        <v>0</v>
      </c>
      <c r="N56" s="85">
        <f t="shared" si="13"/>
        <v>0</v>
      </c>
      <c r="O56" s="6">
        <v>0</v>
      </c>
      <c r="P56" s="7">
        <f t="shared" si="14"/>
        <v>0</v>
      </c>
      <c r="Q56" s="85">
        <f t="shared" si="15"/>
        <v>0</v>
      </c>
      <c r="R56" s="6">
        <v>0</v>
      </c>
      <c r="S56" s="7">
        <f t="shared" si="16"/>
        <v>0</v>
      </c>
      <c r="T56" s="85">
        <f t="shared" si="17"/>
        <v>0</v>
      </c>
      <c r="U56" s="71">
        <v>0</v>
      </c>
      <c r="V56" s="7">
        <f t="shared" si="18"/>
        <v>0</v>
      </c>
      <c r="W56" s="85">
        <f t="shared" si="19"/>
        <v>0</v>
      </c>
      <c r="X56" s="71">
        <v>0</v>
      </c>
      <c r="Y56" s="7">
        <f t="shared" si="20"/>
        <v>0</v>
      </c>
      <c r="Z56" s="85">
        <f t="shared" si="21"/>
        <v>0</v>
      </c>
      <c r="AA56" s="71">
        <v>0</v>
      </c>
      <c r="AB56" s="7">
        <f t="shared" si="22"/>
        <v>0</v>
      </c>
      <c r="AC56" s="85">
        <f t="shared" si="23"/>
        <v>0</v>
      </c>
      <c r="AD56" s="51">
        <f>VLOOKUP(B56,[12]AKSoftSalesReport!$B$2:$C$89,2,0)</f>
        <v>315372.12</v>
      </c>
      <c r="AE56" s="7">
        <f t="shared" si="24"/>
        <v>8.7603366666666668E-2</v>
      </c>
      <c r="AF56" s="85">
        <f t="shared" si="25"/>
        <v>425752.36200000002</v>
      </c>
      <c r="AG56" s="154">
        <f>VLOOKUP(B56,[13]AKSoftSalesReport!$B$2:$C$90,2,0)</f>
        <v>340378</v>
      </c>
      <c r="AH56" s="7">
        <f t="shared" si="26"/>
        <v>9.454944444444445E-2</v>
      </c>
      <c r="AI56" s="85">
        <f t="shared" si="27"/>
        <v>459510.30000000005</v>
      </c>
      <c r="AJ56" s="104">
        <f>VLOOKUP(B56,[14]AKSoftSalesReport!$A:$D,4,0)</f>
        <v>327313.5</v>
      </c>
      <c r="AK56" s="7">
        <f t="shared" si="28"/>
        <v>9.092041666666667E-2</v>
      </c>
      <c r="AL56" s="85">
        <f t="shared" si="29"/>
        <v>441873.22500000003</v>
      </c>
      <c r="AM56" s="6">
        <f t="shared" si="4"/>
        <v>983063.62</v>
      </c>
      <c r="AN56" s="101">
        <f>AM56/93</f>
        <v>10570.576559139785</v>
      </c>
      <c r="AO56" s="225">
        <v>3600000</v>
      </c>
      <c r="AP56" s="87">
        <f t="shared" si="30"/>
        <v>4860000</v>
      </c>
      <c r="AQ56" s="237">
        <v>0.35</v>
      </c>
      <c r="AR56" s="3">
        <v>4860000</v>
      </c>
      <c r="AS56" s="240">
        <f t="shared" si="31"/>
        <v>1327135.8870000001</v>
      </c>
      <c r="AT56" s="31">
        <f t="shared" si="32"/>
        <v>-3532864.1129999999</v>
      </c>
      <c r="AU56" s="28"/>
      <c r="AZ56" s="28">
        <v>0</v>
      </c>
      <c r="BA56" s="28">
        <f t="shared" si="33"/>
        <v>0</v>
      </c>
      <c r="BB56" s="253">
        <v>0</v>
      </c>
      <c r="BC56" s="28">
        <v>0</v>
      </c>
      <c r="BD56" s="28">
        <v>0</v>
      </c>
      <c r="BE56" s="28">
        <f t="shared" si="34"/>
        <v>0</v>
      </c>
      <c r="BF56" s="28">
        <v>0</v>
      </c>
      <c r="BG56" s="28">
        <v>0</v>
      </c>
      <c r="BH56" s="28">
        <v>0</v>
      </c>
      <c r="BI56" s="28">
        <f t="shared" si="35"/>
        <v>0</v>
      </c>
      <c r="BJ56" s="28">
        <v>0</v>
      </c>
      <c r="BK56" s="28">
        <v>0</v>
      </c>
    </row>
    <row r="57" spans="1:63" x14ac:dyDescent="0.3">
      <c r="A57" s="61">
        <v>54</v>
      </c>
      <c r="B57" s="90" t="s">
        <v>142</v>
      </c>
      <c r="C57" s="70">
        <f>VLOOKUP(B57,[3]AKSoftSalesReport!$B$2:$C$87,2,0)</f>
        <v>1601484.0400000024</v>
      </c>
      <c r="D57" s="7">
        <f t="shared" si="6"/>
        <v>6.7179081660281789E-2</v>
      </c>
      <c r="E57" s="85">
        <f t="shared" si="7"/>
        <v>2161822.8478278681</v>
      </c>
      <c r="F57" s="70">
        <v>1284533.53</v>
      </c>
      <c r="G57" s="7">
        <f t="shared" si="8"/>
        <v>5.3883635897638976E-2</v>
      </c>
      <c r="H57" s="85">
        <f t="shared" si="9"/>
        <v>1733975.4031860223</v>
      </c>
      <c r="I57" s="70">
        <v>1191488</v>
      </c>
      <c r="J57" s="7">
        <f t="shared" si="10"/>
        <v>4.9980560311575571E-2</v>
      </c>
      <c r="K57" s="85">
        <f t="shared" si="11"/>
        <v>1608374.4308265019</v>
      </c>
      <c r="L57" s="6">
        <v>1628045.5</v>
      </c>
      <c r="M57" s="7">
        <f t="shared" si="12"/>
        <v>6.8293282267835861E-2</v>
      </c>
      <c r="N57" s="85">
        <f t="shared" si="13"/>
        <v>2197677.8233789578</v>
      </c>
      <c r="O57" s="6">
        <v>2000413.090000001</v>
      </c>
      <c r="P57" s="7">
        <f t="shared" si="14"/>
        <v>8.3913364711025465E-2</v>
      </c>
      <c r="Q57" s="85">
        <f t="shared" si="15"/>
        <v>2700332.0764007997</v>
      </c>
      <c r="R57" s="6">
        <v>2139865.1400000025</v>
      </c>
      <c r="S57" s="7">
        <f t="shared" si="16"/>
        <v>8.9763101842744733E-2</v>
      </c>
      <c r="T57" s="85">
        <f t="shared" si="17"/>
        <v>2888576.6172995255</v>
      </c>
      <c r="U57" s="71">
        <f>VLOOKUP(B57,[9]AKSoftSalesReport!$B$2:$C$94,2,0)</f>
        <v>2817260.6799999992</v>
      </c>
      <c r="V57" s="7">
        <f t="shared" si="18"/>
        <v>0.11817850228468131</v>
      </c>
      <c r="W57" s="85">
        <f t="shared" si="19"/>
        <v>3802984.2035210445</v>
      </c>
      <c r="X57" s="71">
        <f>VLOOKUP(B57,[10]AKSoftSalesReport!$B$2:$C$94,2,0)</f>
        <v>2887192.5599999954</v>
      </c>
      <c r="Y57" s="7">
        <f t="shared" si="20"/>
        <v>0.12111200605982775</v>
      </c>
      <c r="Z57" s="85">
        <f t="shared" si="21"/>
        <v>3897384.3550052568</v>
      </c>
      <c r="AA57" s="71">
        <f>VLOOKUP(B57,[11]AKSoftSalesReport!$B$2:$C$94,2,0)</f>
        <v>2271513.6500000004</v>
      </c>
      <c r="AB57" s="7">
        <f t="shared" si="22"/>
        <v>9.5285495936503081E-2</v>
      </c>
      <c r="AC57" s="85">
        <f t="shared" si="23"/>
        <v>3066287.2592366692</v>
      </c>
      <c r="AD57" s="51">
        <f>VLOOKUP(B57,[12]AKSoftSalesReport!$B$2:$C$89,2,0)</f>
        <v>1991498.8100000017</v>
      </c>
      <c r="AE57" s="7">
        <f t="shared" si="24"/>
        <v>8.3539428331326937E-2</v>
      </c>
      <c r="AF57" s="85">
        <f t="shared" si="25"/>
        <v>2688298.8037021006</v>
      </c>
      <c r="AG57" s="154">
        <f>VLOOKUP(B57,[13]AKSoftSalesReport!$B$2:$C$90,2,0)</f>
        <v>2013852</v>
      </c>
      <c r="AH57" s="7">
        <f t="shared" si="26"/>
        <v>8.4477100352321713E-2</v>
      </c>
      <c r="AI57" s="85">
        <f t="shared" si="27"/>
        <v>2718473.0893377126</v>
      </c>
      <c r="AJ57" s="104">
        <f>VLOOKUP(B57,[14]AKSoftSalesReport!$A:$D,4,0)</f>
        <v>2040511.0957142857</v>
      </c>
      <c r="AK57" s="7">
        <f t="shared" si="28"/>
        <v>8.5595396584595917E-2</v>
      </c>
      <c r="AL57" s="85">
        <f t="shared" si="29"/>
        <v>2754459.8620922966</v>
      </c>
      <c r="AM57" s="6">
        <f t="shared" si="4"/>
        <v>23867658.09571429</v>
      </c>
      <c r="AN57" s="155"/>
      <c r="AO57" s="73">
        <v>23839028.465714291</v>
      </c>
      <c r="AP57" s="87">
        <f>(AO57*AQ57)+AO57</f>
        <v>32182688.42871429</v>
      </c>
      <c r="AQ57" s="237">
        <v>0.35</v>
      </c>
      <c r="AR57" s="3">
        <v>32180000</v>
      </c>
      <c r="AS57" s="240">
        <f>E57+H57+K57+N57+Q57+T57+W57+Z57+AC57+AF57+AI57+AL57</f>
        <v>32218646.77181476</v>
      </c>
      <c r="AT57" s="31">
        <f>AS57-AR57</f>
        <v>38646.771814759821</v>
      </c>
      <c r="AU57" s="28">
        <f t="shared" si="5"/>
        <v>-28629.629999998957</v>
      </c>
      <c r="AZ57" s="28">
        <v>487242</v>
      </c>
      <c r="BA57" s="28">
        <f t="shared" si="33"/>
        <v>1140803.5</v>
      </c>
      <c r="BB57" s="253">
        <v>553757.5</v>
      </c>
      <c r="BC57" s="28">
        <v>1628045.5</v>
      </c>
      <c r="BD57" s="28">
        <f>VLOOKUP(B57,[20]AKSoftSalesReport!$A:$B,2,0)</f>
        <v>326515.62</v>
      </c>
      <c r="BE57" s="28">
        <f t="shared" si="34"/>
        <v>1673897.4700000011</v>
      </c>
      <c r="BF57" s="28">
        <f>VLOOKUP(B57,[21]AKSoftSalesReport!$A:$B,2,0)</f>
        <v>416795.36000000004</v>
      </c>
      <c r="BG57" s="28">
        <v>2000413.090000001</v>
      </c>
      <c r="BH57" s="28">
        <v>416795.36000000004</v>
      </c>
      <c r="BI57" s="28">
        <f t="shared" si="35"/>
        <v>1723069.7800000024</v>
      </c>
      <c r="BJ57" s="28">
        <f>VLOOKUP(B57,[22]AKSoftSalesReport!$A:$B,2,0)</f>
        <v>355145.25000000006</v>
      </c>
      <c r="BK57" s="28">
        <v>2139865.1400000025</v>
      </c>
    </row>
    <row r="58" spans="1:63" x14ac:dyDescent="0.3">
      <c r="A58" s="239">
        <v>55</v>
      </c>
      <c r="B58" s="89" t="s">
        <v>8</v>
      </c>
      <c r="C58" s="70">
        <f>VLOOKUP(B58,[3]AKSoftSalesReport!$B$2:$C$87,2,0)</f>
        <v>3701872.3599999696</v>
      </c>
      <c r="D58" s="7">
        <f t="shared" si="6"/>
        <v>7.4710591181593386E-2</v>
      </c>
      <c r="E58" s="85">
        <v>4700000</v>
      </c>
      <c r="F58" s="70">
        <v>2825728.5999999987</v>
      </c>
      <c r="G58" s="7">
        <f t="shared" si="8"/>
        <v>5.7028399062559215E-2</v>
      </c>
      <c r="H58" s="85">
        <v>3600000</v>
      </c>
      <c r="I58" s="70">
        <v>2660602</v>
      </c>
      <c r="J58" s="7">
        <f t="shared" si="10"/>
        <v>5.3695840641823575E-2</v>
      </c>
      <c r="K58" s="85">
        <v>3390000</v>
      </c>
      <c r="L58" s="6">
        <v>3572201.7299999986</v>
      </c>
      <c r="M58" s="7">
        <f t="shared" si="12"/>
        <v>7.2093599431454394E-2</v>
      </c>
      <c r="N58" s="85">
        <v>4550000</v>
      </c>
      <c r="O58" s="6">
        <v>4051613.4499999941</v>
      </c>
      <c r="P58" s="7">
        <f t="shared" si="14"/>
        <v>8.1769009477354646E-2</v>
      </c>
      <c r="Q58" s="85">
        <v>5150000</v>
      </c>
      <c r="R58" s="6">
        <v>4525513.6299999924</v>
      </c>
      <c r="S58" s="7">
        <f t="shared" si="16"/>
        <v>9.1333186511503836E-2</v>
      </c>
      <c r="T58" s="85">
        <v>5750000</v>
      </c>
      <c r="U58" s="71">
        <f>VLOOKUP(B58,[9]AKSoftSalesReport!$B$2:$C$94,2,0)</f>
        <v>5013961.3999999957</v>
      </c>
      <c r="V58" s="7">
        <f t="shared" si="18"/>
        <v>0.10119096066178046</v>
      </c>
      <c r="W58" s="85">
        <v>6390000</v>
      </c>
      <c r="X58" s="71">
        <v>5519880.4699998898</v>
      </c>
      <c r="Y58" s="7">
        <f t="shared" si="20"/>
        <v>0.11140133777206374</v>
      </c>
      <c r="Z58" s="85">
        <v>7000000</v>
      </c>
      <c r="AA58" s="71">
        <v>4649458.24</v>
      </c>
      <c r="AB58" s="7">
        <f t="shared" si="22"/>
        <v>9.3834616649109304E-2</v>
      </c>
      <c r="AC58" s="85">
        <v>5920000</v>
      </c>
      <c r="AD58" s="51">
        <v>4551807.8600000003</v>
      </c>
      <c r="AE58" s="7">
        <f t="shared" si="24"/>
        <v>9.1863852422406661E-2</v>
      </c>
      <c r="AF58" s="85">
        <v>5800000</v>
      </c>
      <c r="AG58" s="154">
        <v>4159877</v>
      </c>
      <c r="AH58" s="7">
        <f t="shared" si="26"/>
        <v>8.3953966990022236E-2</v>
      </c>
      <c r="AI58" s="85">
        <v>5300000</v>
      </c>
      <c r="AJ58" s="104">
        <v>4417609.0092857154</v>
      </c>
      <c r="AK58" s="7">
        <f t="shared" si="28"/>
        <v>8.9155472851816964E-2</v>
      </c>
      <c r="AL58" s="85">
        <v>5625000</v>
      </c>
      <c r="AM58" s="6">
        <f t="shared" si="4"/>
        <v>49650125.749285549</v>
      </c>
      <c r="AN58" s="155"/>
      <c r="AO58" s="73">
        <v>49549498.95928555</v>
      </c>
      <c r="AP58" s="87">
        <f t="shared" si="30"/>
        <v>63175611.17308908</v>
      </c>
      <c r="AQ58" s="251">
        <v>0.27500000000000002</v>
      </c>
      <c r="AR58" s="25">
        <v>63175000</v>
      </c>
      <c r="AS58" s="240">
        <f t="shared" si="31"/>
        <v>63175000</v>
      </c>
      <c r="AT58" s="31">
        <f t="shared" ref="AT58:AT93" si="36">AS58-AR58</f>
        <v>0</v>
      </c>
      <c r="AU58" s="28">
        <f t="shared" si="5"/>
        <v>-100626.78999999911</v>
      </c>
      <c r="AV58" s="79">
        <f>AP58-AR58</f>
        <v>611.17308907955885</v>
      </c>
      <c r="AZ58" s="28">
        <v>1276935</v>
      </c>
      <c r="BA58" s="28">
        <f t="shared" si="33"/>
        <v>2295266.7299999986</v>
      </c>
      <c r="BB58" s="253">
        <v>1100479</v>
      </c>
      <c r="BC58" s="28">
        <v>3572201.7299999986</v>
      </c>
      <c r="BD58" s="28">
        <v>635559.22</v>
      </c>
      <c r="BE58" s="28">
        <f t="shared" si="34"/>
        <v>3416054.2299999939</v>
      </c>
      <c r="BF58" s="28">
        <v>668322.39000000013</v>
      </c>
      <c r="BG58" s="28">
        <v>4051613.4499999941</v>
      </c>
      <c r="BH58" s="28">
        <v>668322.39000000013</v>
      </c>
      <c r="BI58" s="28">
        <f t="shared" si="35"/>
        <v>3857191.2399999923</v>
      </c>
      <c r="BJ58" s="28">
        <v>736186.01</v>
      </c>
      <c r="BK58" s="28">
        <v>4525513.6299999924</v>
      </c>
    </row>
    <row r="59" spans="1:63" x14ac:dyDescent="0.3">
      <c r="A59" s="61">
        <v>56</v>
      </c>
      <c r="B59" s="106" t="s">
        <v>222</v>
      </c>
      <c r="C59" s="70">
        <f>VLOOKUP(B59,[3]AKSoftSalesReport!$B$2:$C$87,2,0)</f>
        <v>538831.25</v>
      </c>
      <c r="D59" s="7">
        <f t="shared" si="6"/>
        <v>4.098297851602458E-2</v>
      </c>
      <c r="E59" s="85">
        <f t="shared" si="7"/>
        <v>727447.86865943635</v>
      </c>
      <c r="F59" s="70">
        <v>548023.5</v>
      </c>
      <c r="G59" s="7">
        <f t="shared" si="8"/>
        <v>4.1682132071546696E-2</v>
      </c>
      <c r="H59" s="85">
        <f t="shared" si="9"/>
        <v>739857.8442699539</v>
      </c>
      <c r="I59" s="70">
        <v>687933</v>
      </c>
      <c r="J59" s="7">
        <f t="shared" si="10"/>
        <v>5.2323511970518294E-2</v>
      </c>
      <c r="K59" s="85">
        <f t="shared" si="11"/>
        <v>928742.33747669973</v>
      </c>
      <c r="L59" s="6">
        <v>847512.05</v>
      </c>
      <c r="M59" s="7">
        <f t="shared" si="12"/>
        <v>6.4460938628229061E-2</v>
      </c>
      <c r="N59" s="85">
        <f t="shared" si="13"/>
        <v>1144181.6606510659</v>
      </c>
      <c r="O59" s="6">
        <v>941202.30999999994</v>
      </c>
      <c r="P59" s="7">
        <f t="shared" si="14"/>
        <v>7.158692828220839E-2</v>
      </c>
      <c r="Q59" s="85">
        <f t="shared" si="15"/>
        <v>1270667.9770091989</v>
      </c>
      <c r="R59" s="6">
        <v>1198075.5000000012</v>
      </c>
      <c r="S59" s="7">
        <f t="shared" si="16"/>
        <v>9.1124452186237256E-2</v>
      </c>
      <c r="T59" s="85">
        <f t="shared" si="17"/>
        <v>1617459.0263057114</v>
      </c>
      <c r="U59" s="71">
        <f>VLOOKUP(B59,[9]AKSoftSalesReport!$B$2:$C$94,2,0)</f>
        <v>1261498.18</v>
      </c>
      <c r="V59" s="7">
        <f t="shared" si="18"/>
        <v>9.5948319272395777E-2</v>
      </c>
      <c r="W59" s="85">
        <f t="shared" si="19"/>
        <v>1703082.667085025</v>
      </c>
      <c r="X59" s="71">
        <f>VLOOKUP(B59,[10]AKSoftSalesReport!$B$2:$C$94,2,0)</f>
        <v>1379653.68</v>
      </c>
      <c r="Y59" s="7">
        <f t="shared" si="20"/>
        <v>0.10493511118182965</v>
      </c>
      <c r="Z59" s="85">
        <f t="shared" si="21"/>
        <v>1862598.2234774763</v>
      </c>
      <c r="AA59" s="71">
        <f>VLOOKUP(B59,[11]AKSoftSalesReport!$B$2:$C$94,2,0)</f>
        <v>1422454.320000001</v>
      </c>
      <c r="AB59" s="7">
        <f t="shared" si="22"/>
        <v>0.10819048605029198</v>
      </c>
      <c r="AC59" s="85">
        <f t="shared" si="23"/>
        <v>1920381.1273926827</v>
      </c>
      <c r="AD59" s="51">
        <f>VLOOKUP(B59,[12]AKSoftSalesReport!$B$2:$C$89,2,0)</f>
        <v>1457841.6</v>
      </c>
      <c r="AE59" s="7">
        <f t="shared" si="24"/>
        <v>0.11088200799891784</v>
      </c>
      <c r="AF59" s="85">
        <f t="shared" si="25"/>
        <v>1968155.6419807917</v>
      </c>
      <c r="AG59" s="154">
        <f>VLOOKUP(B59,[13]AKSoftSalesReport!$B$2:$C$90,2,0)</f>
        <v>1360666.0899999999</v>
      </c>
      <c r="AH59" s="7">
        <f t="shared" si="26"/>
        <v>0.10349093363451574</v>
      </c>
      <c r="AI59" s="85">
        <f t="shared" si="27"/>
        <v>1836964.0720126543</v>
      </c>
      <c r="AJ59" s="104">
        <f>VLOOKUP(B59,[14]AKSoftSalesReport!$A:$D,4,0)</f>
        <v>1529759.7678571427</v>
      </c>
      <c r="AK59" s="7">
        <f t="shared" si="28"/>
        <v>0.11635203359264709</v>
      </c>
      <c r="AL59" s="85">
        <f t="shared" si="29"/>
        <v>2065248.5962694858</v>
      </c>
      <c r="AM59" s="6">
        <f t="shared" si="4"/>
        <v>13173451.247857148</v>
      </c>
      <c r="AN59" s="155"/>
      <c r="AO59" s="101">
        <v>13147683.977857146</v>
      </c>
      <c r="AP59" s="87">
        <f t="shared" si="30"/>
        <v>17749373.370107148</v>
      </c>
      <c r="AQ59" s="237">
        <v>0.35</v>
      </c>
      <c r="AR59" s="25">
        <v>17750000</v>
      </c>
      <c r="AS59" s="240">
        <f t="shared" si="31"/>
        <v>17784787.042590182</v>
      </c>
      <c r="AT59" s="31">
        <f t="shared" si="36"/>
        <v>34787.042590182275</v>
      </c>
      <c r="AU59" s="28">
        <f t="shared" si="5"/>
        <v>-25767.270000001416</v>
      </c>
      <c r="AZ59" s="28">
        <v>280834</v>
      </c>
      <c r="BA59" s="28">
        <f t="shared" si="33"/>
        <v>566678.05000000005</v>
      </c>
      <c r="BB59" s="253">
        <v>279756</v>
      </c>
      <c r="BC59" s="28">
        <v>847512.05</v>
      </c>
      <c r="BD59" s="28">
        <f>VLOOKUP(B59,[20]AKSoftSalesReport!$A:$B,2,0)</f>
        <v>206469.04</v>
      </c>
      <c r="BE59" s="28">
        <f t="shared" si="34"/>
        <v>734733.2699999999</v>
      </c>
      <c r="BF59" s="28">
        <f>VLOOKUP(B59,[21]AKSoftSalesReport!$A:$B,2,0)</f>
        <v>58011.05999999999</v>
      </c>
      <c r="BG59" s="28">
        <v>941202.30999999994</v>
      </c>
      <c r="BH59" s="28">
        <v>58011.05999999999</v>
      </c>
      <c r="BI59" s="28">
        <f t="shared" si="35"/>
        <v>1140064.4400000011</v>
      </c>
      <c r="BJ59" s="28">
        <f>VLOOKUP(B59,[22]AKSoftSalesReport!$A:$B,2,0)</f>
        <v>232236.31000000003</v>
      </c>
      <c r="BK59" s="28">
        <v>1198075.5000000012</v>
      </c>
    </row>
    <row r="60" spans="1:63" x14ac:dyDescent="0.3">
      <c r="A60" s="239">
        <v>57</v>
      </c>
      <c r="B60" s="89" t="s">
        <v>91</v>
      </c>
      <c r="C60" s="70">
        <f>VLOOKUP(B60,[3]AKSoftSalesReport!$B$2:$C$87,2,0)</f>
        <v>1799803</v>
      </c>
      <c r="D60" s="7">
        <f t="shared" si="6"/>
        <v>7.4228709880806792E-2</v>
      </c>
      <c r="E60" s="85">
        <f t="shared" si="7"/>
        <v>2339688.9354430302</v>
      </c>
      <c r="F60" s="70">
        <v>1483492</v>
      </c>
      <c r="G60" s="7">
        <f t="shared" si="8"/>
        <v>6.1183194648802029E-2</v>
      </c>
      <c r="H60" s="85">
        <f t="shared" si="9"/>
        <v>1928494.2953302399</v>
      </c>
      <c r="I60" s="70">
        <v>1553527</v>
      </c>
      <c r="J60" s="7">
        <f t="shared" si="10"/>
        <v>6.4071626158529654E-2</v>
      </c>
      <c r="K60" s="85">
        <f t="shared" si="11"/>
        <v>2019537.6565168547</v>
      </c>
      <c r="L60" s="6">
        <v>1907182.1400000001</v>
      </c>
      <c r="M60" s="7">
        <f t="shared" si="12"/>
        <v>7.8657314028211009E-2</v>
      </c>
      <c r="N60" s="85">
        <f t="shared" si="13"/>
        <v>2479278.5381692108</v>
      </c>
      <c r="O60" s="6">
        <v>2317696.5999999973</v>
      </c>
      <c r="P60" s="7">
        <f t="shared" si="14"/>
        <v>9.5588032975349027E-2</v>
      </c>
      <c r="Q60" s="85">
        <f t="shared" si="15"/>
        <v>3012934.7993830014</v>
      </c>
      <c r="R60" s="6">
        <v>2004349.0500000038</v>
      </c>
      <c r="S60" s="7">
        <f t="shared" si="16"/>
        <v>8.2664738380990033E-2</v>
      </c>
      <c r="T60" s="85">
        <f t="shared" si="17"/>
        <v>2605592.5537688057</v>
      </c>
      <c r="U60" s="71">
        <f>VLOOKUP(B60,[9]AKSoftSalesReport!$B$2:$C$94,2,0)</f>
        <v>1871573.2000000011</v>
      </c>
      <c r="V60" s="7">
        <f t="shared" si="18"/>
        <v>7.7188705699175561E-2</v>
      </c>
      <c r="W60" s="85">
        <f t="shared" si="19"/>
        <v>2432988.0036380137</v>
      </c>
      <c r="X60" s="71">
        <f>VLOOKUP(B60,[10]AKSoftSalesReport!$B$2:$C$94,2,0)</f>
        <v>1906305.3000000012</v>
      </c>
      <c r="Y60" s="7">
        <f t="shared" si="20"/>
        <v>7.862115079147243E-2</v>
      </c>
      <c r="Z60" s="85">
        <f t="shared" si="21"/>
        <v>2478138.6729472112</v>
      </c>
      <c r="AA60" s="71">
        <f>VLOOKUP(B60,[11]AKSoftSalesReport!$B$2:$C$94,2,0)</f>
        <v>2410518.0799999996</v>
      </c>
      <c r="AB60" s="7">
        <f t="shared" si="22"/>
        <v>9.9416240123368721E-2</v>
      </c>
      <c r="AC60" s="85">
        <f t="shared" si="23"/>
        <v>3133599.888688582</v>
      </c>
      <c r="AD60" s="51">
        <f>VLOOKUP(B60,[12]AKSoftSalesReport!$B$2:$C$89,2,0)</f>
        <v>2314631.6000000006</v>
      </c>
      <c r="AE60" s="7">
        <f t="shared" si="24"/>
        <v>9.546162414294658E-2</v>
      </c>
      <c r="AF60" s="85">
        <f t="shared" si="25"/>
        <v>3008950.3929856764</v>
      </c>
      <c r="AG60" s="154">
        <f>VLOOKUP(B60,[13]AKSoftSalesReport!$B$2:$C$90,2,0)</f>
        <v>2188011</v>
      </c>
      <c r="AH60" s="7">
        <f t="shared" si="26"/>
        <v>9.0239450503757326E-2</v>
      </c>
      <c r="AI60" s="85">
        <f t="shared" si="27"/>
        <v>2844347.4798784307</v>
      </c>
      <c r="AJ60" s="104">
        <f>VLOOKUP(B60,[14]AKSoftSalesReport!$A:$D,4,0)</f>
        <v>2410596.0928571434</v>
      </c>
      <c r="AK60" s="7">
        <f t="shared" si="28"/>
        <v>9.9419457583135099E-2</v>
      </c>
      <c r="AL60" s="85">
        <f t="shared" si="29"/>
        <v>3133701.3030204182</v>
      </c>
      <c r="AM60" s="6">
        <f t="shared" si="4"/>
        <v>24167685.062857147</v>
      </c>
      <c r="AN60" s="155"/>
      <c r="AO60" s="73">
        <v>24246723.442857146</v>
      </c>
      <c r="AP60" s="87">
        <f t="shared" si="30"/>
        <v>31520740.475714289</v>
      </c>
      <c r="AQ60" s="237">
        <v>0.3</v>
      </c>
      <c r="AR60" s="1">
        <v>31520000</v>
      </c>
      <c r="AS60" s="240">
        <f t="shared" si="31"/>
        <v>31417252.519769471</v>
      </c>
      <c r="AT60" s="31">
        <f t="shared" si="36"/>
        <v>-102747.48023052886</v>
      </c>
      <c r="AU60" s="28">
        <f t="shared" si="5"/>
        <v>79038.379999998957</v>
      </c>
      <c r="AZ60" s="28">
        <v>610975</v>
      </c>
      <c r="BA60" s="28">
        <f t="shared" si="33"/>
        <v>1296207.1400000001</v>
      </c>
      <c r="BB60" s="253">
        <v>596955</v>
      </c>
      <c r="BC60" s="28">
        <v>1907182.1400000001</v>
      </c>
      <c r="BD60" s="28">
        <f>VLOOKUP(B60,[20]AKSoftSalesReport!$A:$B,2,0)</f>
        <v>401781.08000000019</v>
      </c>
      <c r="BE60" s="28">
        <f t="shared" si="34"/>
        <v>1915915.5199999972</v>
      </c>
      <c r="BF60" s="28">
        <f>VLOOKUP(B60,[21]AKSoftSalesReport!$A:$B,2,0)</f>
        <v>327093.41000000032</v>
      </c>
      <c r="BG60" s="28">
        <v>2317696.5999999973</v>
      </c>
      <c r="BH60" s="28">
        <v>327093.41000000032</v>
      </c>
      <c r="BI60" s="28">
        <f t="shared" si="35"/>
        <v>1677255.6400000034</v>
      </c>
      <c r="BJ60" s="28">
        <f>VLOOKUP(B60,[22]AKSoftSalesReport!$A:$B,2,0)</f>
        <v>322742.70000000013</v>
      </c>
      <c r="BK60" s="28">
        <v>2004349.0500000038</v>
      </c>
    </row>
    <row r="61" spans="1:63" x14ac:dyDescent="0.3">
      <c r="A61" s="61">
        <v>58</v>
      </c>
      <c r="B61" s="90" t="s">
        <v>143</v>
      </c>
      <c r="C61" s="70">
        <f>VLOOKUP(B61,[3]AKSoftSalesReport!$B$2:$C$87,2,0)</f>
        <v>390624.04000000004</v>
      </c>
      <c r="D61" s="7">
        <f t="shared" si="6"/>
        <v>7.6256001123769471E-2</v>
      </c>
      <c r="E61" s="85">
        <f t="shared" si="7"/>
        <v>449147.84661900217</v>
      </c>
      <c r="F61" s="70">
        <v>353154.61</v>
      </c>
      <c r="G61" s="7">
        <f t="shared" si="8"/>
        <v>6.8941374773105024E-2</v>
      </c>
      <c r="H61" s="85">
        <f t="shared" si="9"/>
        <v>406064.69741358858</v>
      </c>
      <c r="I61" s="70">
        <v>421765</v>
      </c>
      <c r="J61" s="7">
        <f t="shared" si="10"/>
        <v>8.2335209870766354E-2</v>
      </c>
      <c r="K61" s="85">
        <f t="shared" si="11"/>
        <v>484954.3861388138</v>
      </c>
      <c r="L61" s="6">
        <v>418133</v>
      </c>
      <c r="M61" s="7">
        <f t="shared" si="12"/>
        <v>8.1626185930300396E-2</v>
      </c>
      <c r="N61" s="85">
        <f t="shared" si="13"/>
        <v>480778.23512946931</v>
      </c>
      <c r="O61" s="6">
        <v>515803.1500000002</v>
      </c>
      <c r="P61" s="7">
        <f t="shared" si="14"/>
        <v>0.10069294656325772</v>
      </c>
      <c r="Q61" s="85">
        <f t="shared" si="15"/>
        <v>593081.45525758795</v>
      </c>
      <c r="R61" s="6">
        <v>531175.05000000005</v>
      </c>
      <c r="S61" s="7">
        <f t="shared" si="16"/>
        <v>0.10369378497472483</v>
      </c>
      <c r="T61" s="85">
        <f t="shared" si="17"/>
        <v>610756.39350112923</v>
      </c>
      <c r="U61" s="71">
        <f>VLOOKUP(B61,[9]AKSoftSalesReport!$B$2:$C$94,2,0)</f>
        <v>510932</v>
      </c>
      <c r="V61" s="7">
        <f t="shared" si="18"/>
        <v>9.9742020911385232E-2</v>
      </c>
      <c r="W61" s="85">
        <f t="shared" si="19"/>
        <v>587480.50316805905</v>
      </c>
      <c r="X61" s="71">
        <f>VLOOKUP(B61,[10]AKSoftSalesReport!$B$2:$C$94,2,0)</f>
        <v>515678.06000000006</v>
      </c>
      <c r="Y61" s="7">
        <f t="shared" si="20"/>
        <v>0.10066852701350194</v>
      </c>
      <c r="Z61" s="85">
        <f t="shared" si="21"/>
        <v>592937.6241095264</v>
      </c>
      <c r="AA61" s="71">
        <f>VLOOKUP(B61,[11]AKSoftSalesReport!$B$2:$C$94,2,0)</f>
        <v>387233.12000000005</v>
      </c>
      <c r="AB61" s="7">
        <f t="shared" si="22"/>
        <v>7.5594039818647013E-2</v>
      </c>
      <c r="AC61" s="85">
        <f t="shared" si="23"/>
        <v>445248.89453183091</v>
      </c>
      <c r="AD61" s="51">
        <f>VLOOKUP(B61,[12]AKSoftSalesReport!$B$2:$C$89,2,0)</f>
        <v>422269.48000000033</v>
      </c>
      <c r="AE61" s="7">
        <f t="shared" si="24"/>
        <v>8.2433692359061089E-2</v>
      </c>
      <c r="AF61" s="85">
        <f t="shared" si="25"/>
        <v>485534.44799486984</v>
      </c>
      <c r="AG61" s="154">
        <f>VLOOKUP(B61,[13]AKSoftSalesReport!$B$2:$C$90,2,0)</f>
        <v>336848</v>
      </c>
      <c r="AH61" s="7">
        <f t="shared" si="26"/>
        <v>6.5758066161364509E-2</v>
      </c>
      <c r="AI61" s="85">
        <f t="shared" si="27"/>
        <v>387315.00969043694</v>
      </c>
      <c r="AJ61" s="104">
        <f>VLOOKUP(B61,[14]AKSoftSalesReport!$A:$D,4,0)</f>
        <v>328303.52928571426</v>
      </c>
      <c r="AK61" s="7">
        <f t="shared" si="28"/>
        <v>6.4090050110968355E-2</v>
      </c>
      <c r="AL61" s="85">
        <f t="shared" si="29"/>
        <v>377490.39515360363</v>
      </c>
      <c r="AM61" s="6">
        <f t="shared" si="4"/>
        <v>5131919.0392857157</v>
      </c>
      <c r="AN61" s="155"/>
      <c r="AO61" s="103">
        <v>5122535.069285715</v>
      </c>
      <c r="AP61" s="87">
        <f t="shared" si="30"/>
        <v>5890915.3296785727</v>
      </c>
      <c r="AQ61" s="237">
        <v>0.15</v>
      </c>
      <c r="AR61" s="3">
        <v>5890000</v>
      </c>
      <c r="AS61" s="240">
        <f t="shared" si="31"/>
        <v>5900789.8887079181</v>
      </c>
      <c r="AT61" s="31">
        <f t="shared" si="36"/>
        <v>10789.888707918115</v>
      </c>
      <c r="AU61" s="28">
        <f t="shared" si="5"/>
        <v>-9383.9700000006706</v>
      </c>
      <c r="AZ61" s="28">
        <v>161771</v>
      </c>
      <c r="BA61" s="28">
        <f t="shared" si="33"/>
        <v>256362</v>
      </c>
      <c r="BB61" s="253">
        <v>150227</v>
      </c>
      <c r="BC61" s="28">
        <v>418133</v>
      </c>
      <c r="BD61" s="28">
        <f>VLOOKUP(B61,[20]AKSoftSalesReport!$A:$B,2,0)</f>
        <v>77624.029999999984</v>
      </c>
      <c r="BE61" s="28">
        <f t="shared" si="34"/>
        <v>438179.12000000023</v>
      </c>
      <c r="BF61" s="28">
        <f>VLOOKUP(B61,[21]AKSoftSalesReport!$A:$B,2,0)</f>
        <v>102698.01000000001</v>
      </c>
      <c r="BG61" s="28">
        <v>515803.1500000002</v>
      </c>
      <c r="BH61" s="28">
        <v>102698.01000000001</v>
      </c>
      <c r="BI61" s="28">
        <f t="shared" si="35"/>
        <v>428477.04000000004</v>
      </c>
      <c r="BJ61" s="28">
        <f>VLOOKUP(B61,[22]AKSoftSalesReport!$A:$B,2,0)</f>
        <v>87008</v>
      </c>
      <c r="BK61" s="28">
        <v>531175.05000000005</v>
      </c>
    </row>
    <row r="62" spans="1:63" x14ac:dyDescent="0.3">
      <c r="A62" s="239">
        <v>59</v>
      </c>
      <c r="B62" s="89" t="s">
        <v>92</v>
      </c>
      <c r="C62" s="70">
        <f>VLOOKUP(B62,[3]AKSoftSalesReport!$B$2:$C$87,2,0)</f>
        <v>1200301.1000000001</v>
      </c>
      <c r="D62" s="7">
        <f t="shared" si="6"/>
        <v>6.382717259271968E-2</v>
      </c>
      <c r="E62" s="85">
        <f t="shared" si="7"/>
        <v>1620571.9121291528</v>
      </c>
      <c r="F62" s="70">
        <v>946753</v>
      </c>
      <c r="G62" s="7">
        <f t="shared" si="8"/>
        <v>5.0344507002180648E-2</v>
      </c>
      <c r="H62" s="85">
        <f t="shared" si="9"/>
        <v>1278247.0327853668</v>
      </c>
      <c r="I62" s="70">
        <v>1177645</v>
      </c>
      <c r="J62" s="7">
        <f t="shared" si="10"/>
        <v>6.2622412549612233E-2</v>
      </c>
      <c r="K62" s="85">
        <f t="shared" si="11"/>
        <v>1589983.0546346547</v>
      </c>
      <c r="L62" s="6">
        <v>1362452.8400000003</v>
      </c>
      <c r="M62" s="7">
        <f t="shared" si="12"/>
        <v>7.2449748290758967E-2</v>
      </c>
      <c r="N62" s="85">
        <f t="shared" si="13"/>
        <v>1839499.1091023702</v>
      </c>
      <c r="O62" s="6">
        <v>1626754.4900000007</v>
      </c>
      <c r="P62" s="7">
        <f t="shared" si="14"/>
        <v>8.6504244309375145E-2</v>
      </c>
      <c r="Q62" s="85">
        <f t="shared" si="15"/>
        <v>2196342.7630150351</v>
      </c>
      <c r="R62" s="6">
        <v>1727833.5000000033</v>
      </c>
      <c r="S62" s="7">
        <f t="shared" si="16"/>
        <v>9.1879218486080799E-2</v>
      </c>
      <c r="T62" s="85">
        <f t="shared" si="17"/>
        <v>2332813.3573615914</v>
      </c>
      <c r="U62" s="71">
        <f>VLOOKUP(B62,[9]AKSoftSalesReport!$B$2:$C$94,2,0)</f>
        <v>1800468.6400000011</v>
      </c>
      <c r="V62" s="7">
        <f t="shared" si="18"/>
        <v>9.5741662348771767E-2</v>
      </c>
      <c r="W62" s="85">
        <f t="shared" si="19"/>
        <v>2430880.8070353153</v>
      </c>
      <c r="X62" s="71">
        <f>VLOOKUP(B62,[10]AKSoftSalesReport!$B$2:$C$94,2,0)</f>
        <v>1763668.6700000006</v>
      </c>
      <c r="Y62" s="7">
        <f t="shared" si="20"/>
        <v>9.3784788330580057E-2</v>
      </c>
      <c r="Z62" s="85">
        <f t="shared" si="21"/>
        <v>2381195.7757134275</v>
      </c>
      <c r="AA62" s="71">
        <f>VLOOKUP(B62,[11]AKSoftSalesReport!$B$2:$C$94,2,0)</f>
        <v>1850130.1800000002</v>
      </c>
      <c r="AB62" s="7">
        <f t="shared" si="22"/>
        <v>9.8382462798592404E-2</v>
      </c>
      <c r="AC62" s="85">
        <f t="shared" si="23"/>
        <v>2497930.730456261</v>
      </c>
      <c r="AD62" s="51">
        <f>VLOOKUP(B62,[12]AKSoftSalesReport!$B$2:$C$89,2,0)</f>
        <v>2010717.9300000018</v>
      </c>
      <c r="AE62" s="7">
        <f t="shared" si="24"/>
        <v>0.10692187181481894</v>
      </c>
      <c r="AF62" s="85">
        <f t="shared" si="25"/>
        <v>2714746.3253782527</v>
      </c>
      <c r="AG62" s="154">
        <f>VLOOKUP(B62,[13]AKSoftSalesReport!$B$2:$C$90,2,0)</f>
        <v>1767902</v>
      </c>
      <c r="AH62" s="7">
        <f t="shared" si="26"/>
        <v>9.400989975016627E-2</v>
      </c>
      <c r="AI62" s="85">
        <f t="shared" si="27"/>
        <v>2386911.3546567215</v>
      </c>
      <c r="AJ62" s="104">
        <f>VLOOKUP(B62,[14]AKSoftSalesReport!$A:$D,4,0)</f>
        <v>1588805.3571428573</v>
      </c>
      <c r="AK62" s="7">
        <f t="shared" si="28"/>
        <v>8.4486262444144034E-2</v>
      </c>
      <c r="AL62" s="85">
        <f t="shared" si="29"/>
        <v>2145106.2034568172</v>
      </c>
      <c r="AM62" s="6">
        <f t="shared" si="4"/>
        <v>18823432.707142867</v>
      </c>
      <c r="AN62" s="155"/>
      <c r="AO62" s="73">
        <v>18805487.557142865</v>
      </c>
      <c r="AP62" s="87">
        <f t="shared" si="30"/>
        <v>25387408.202142868</v>
      </c>
      <c r="AQ62" s="237">
        <v>0.35</v>
      </c>
      <c r="AR62" s="1">
        <v>25390000</v>
      </c>
      <c r="AS62" s="240">
        <f t="shared" si="31"/>
        <v>25414228.425724968</v>
      </c>
      <c r="AT62" s="31">
        <f t="shared" si="36"/>
        <v>24228.425724968314</v>
      </c>
      <c r="AU62" s="28">
        <f t="shared" si="5"/>
        <v>-17945.150000002235</v>
      </c>
      <c r="AZ62" s="28">
        <v>462306</v>
      </c>
      <c r="BA62" s="28">
        <f t="shared" si="33"/>
        <v>900146.84000000032</v>
      </c>
      <c r="BB62" s="253">
        <v>389299.5</v>
      </c>
      <c r="BC62" s="28">
        <v>1362452.8400000003</v>
      </c>
      <c r="BD62" s="28">
        <f>VLOOKUP(B62,[20]AKSoftSalesReport!$A:$B,2,0)</f>
        <v>290217.63000000006</v>
      </c>
      <c r="BE62" s="28">
        <f t="shared" si="34"/>
        <v>1336536.8600000006</v>
      </c>
      <c r="BF62" s="28">
        <f>VLOOKUP(B62,[21]AKSoftSalesReport!$A:$B,2,0)</f>
        <v>238940.38000000006</v>
      </c>
      <c r="BG62" s="28">
        <v>1626754.4900000007</v>
      </c>
      <c r="BH62" s="28">
        <v>238940.38000000006</v>
      </c>
      <c r="BI62" s="28">
        <f t="shared" si="35"/>
        <v>1488893.1200000031</v>
      </c>
      <c r="BJ62" s="28">
        <f>VLOOKUP(B62,[22]AKSoftSalesReport!$A:$B,2,0)</f>
        <v>308162.7800000002</v>
      </c>
      <c r="BK62" s="28">
        <v>1727833.5000000033</v>
      </c>
    </row>
    <row r="63" spans="1:63" x14ac:dyDescent="0.3">
      <c r="A63" s="61">
        <v>60</v>
      </c>
      <c r="B63" s="90" t="s">
        <v>104</v>
      </c>
      <c r="C63" s="70">
        <f>VLOOKUP(B63,[3]AKSoftSalesReport!$B$2:$C$87,2,0)</f>
        <v>472237.5</v>
      </c>
      <c r="D63" s="7">
        <f t="shared" si="6"/>
        <v>8.4494062674139656E-2</v>
      </c>
      <c r="E63" s="85">
        <v>700000</v>
      </c>
      <c r="F63" s="70">
        <v>388106.5</v>
      </c>
      <c r="G63" s="7">
        <f t="shared" si="8"/>
        <v>6.9441107356448789E-2</v>
      </c>
      <c r="H63" s="85">
        <v>580000</v>
      </c>
      <c r="I63" s="70">
        <v>357601</v>
      </c>
      <c r="J63" s="7">
        <f t="shared" si="10"/>
        <v>6.3982977434733621E-2</v>
      </c>
      <c r="K63" s="85">
        <v>540000</v>
      </c>
      <c r="L63" s="6">
        <v>393052</v>
      </c>
      <c r="M63" s="7">
        <f t="shared" si="12"/>
        <v>7.0325970136204646E-2</v>
      </c>
      <c r="N63" s="85">
        <v>590000</v>
      </c>
      <c r="O63" s="6">
        <v>419081</v>
      </c>
      <c r="P63" s="7">
        <f t="shared" si="14"/>
        <v>7.4983152078225729E-2</v>
      </c>
      <c r="Q63" s="85">
        <v>630000</v>
      </c>
      <c r="R63" s="6">
        <v>405128</v>
      </c>
      <c r="S63" s="7">
        <f t="shared" si="16"/>
        <v>7.2486642045684321E-2</v>
      </c>
      <c r="T63" s="85">
        <v>600000</v>
      </c>
      <c r="U63" s="71">
        <f>VLOOKUP(B63,[9]AKSoftSalesReport!$B$2:$C$94,2,0)</f>
        <v>444493.01</v>
      </c>
      <c r="V63" s="7">
        <f t="shared" si="18"/>
        <v>7.9529940432847848E-2</v>
      </c>
      <c r="W63" s="85">
        <v>660000</v>
      </c>
      <c r="X63" s="71">
        <f>VLOOKUP(B63,[10]AKSoftSalesReport!$B$2:$C$94,2,0)</f>
        <v>553690.14</v>
      </c>
      <c r="Y63" s="7">
        <f t="shared" si="20"/>
        <v>9.9067798282036407E-2</v>
      </c>
      <c r="Z63" s="85">
        <v>830000</v>
      </c>
      <c r="AA63" s="71">
        <f>VLOOKUP(B63,[11]AKSoftSalesReport!$B$2:$C$94,2,0)</f>
        <v>488517.04</v>
      </c>
      <c r="AB63" s="7">
        <f t="shared" si="22"/>
        <v>8.7406843791831848E-2</v>
      </c>
      <c r="AC63" s="85">
        <v>730000</v>
      </c>
      <c r="AD63" s="51">
        <f>VLOOKUP(B63,[12]AKSoftSalesReport!$B$2:$C$89,2,0)</f>
        <v>541093.77000000048</v>
      </c>
      <c r="AE63" s="7">
        <f t="shared" si="24"/>
        <v>9.6814020307507451E-2</v>
      </c>
      <c r="AF63" s="85">
        <v>820000</v>
      </c>
      <c r="AG63" s="154">
        <f>VLOOKUP(B63,[13]AKSoftSalesReport!$B$2:$C$90,2,0)</f>
        <v>536433</v>
      </c>
      <c r="AH63" s="7">
        <f t="shared" si="26"/>
        <v>9.5980102220761296E-2</v>
      </c>
      <c r="AI63" s="85">
        <v>800000</v>
      </c>
      <c r="AJ63" s="104">
        <f>VLOOKUP(B63,[14]AKSoftSalesReport!$A:$D,4,0)</f>
        <v>591637.2142857142</v>
      </c>
      <c r="AK63" s="7">
        <f t="shared" si="28"/>
        <v>0.10585739562023459</v>
      </c>
      <c r="AL63" s="85">
        <v>900000</v>
      </c>
      <c r="AM63" s="6">
        <f t="shared" si="4"/>
        <v>5591070.1742857145</v>
      </c>
      <c r="AN63" s="155"/>
      <c r="AO63" s="73">
        <v>5589002.1742857145</v>
      </c>
      <c r="AP63" s="87">
        <f t="shared" si="30"/>
        <v>8383503.2614285722</v>
      </c>
      <c r="AQ63" s="262">
        <v>0.5</v>
      </c>
      <c r="AR63" s="1">
        <v>8380000</v>
      </c>
      <c r="AS63" s="240">
        <f t="shared" si="31"/>
        <v>8380000</v>
      </c>
      <c r="AT63" s="31">
        <f t="shared" si="36"/>
        <v>0</v>
      </c>
      <c r="AU63" s="28">
        <f t="shared" si="5"/>
        <v>-2068</v>
      </c>
      <c r="AV63" s="261">
        <f>AP63-AR63</f>
        <v>3503.2614285722375</v>
      </c>
      <c r="AZ63" s="28">
        <v>125615</v>
      </c>
      <c r="BA63" s="28">
        <f t="shared" si="33"/>
        <v>267437</v>
      </c>
      <c r="BB63" s="253">
        <v>134981</v>
      </c>
      <c r="BC63" s="28">
        <v>393052</v>
      </c>
      <c r="BD63" s="28">
        <f>VLOOKUP(B63,[20]AKSoftSalesReport!$A:$B,2,0)</f>
        <v>65353</v>
      </c>
      <c r="BE63" s="28">
        <f t="shared" si="34"/>
        <v>353728</v>
      </c>
      <c r="BF63" s="28">
        <f>VLOOKUP(B63,[21]AKSoftSalesReport!$A:$B,2,0)</f>
        <v>88720</v>
      </c>
      <c r="BG63" s="28">
        <v>419081</v>
      </c>
      <c r="BH63" s="28">
        <v>88720</v>
      </c>
      <c r="BI63" s="28">
        <f t="shared" si="35"/>
        <v>316408</v>
      </c>
      <c r="BJ63" s="28">
        <f>VLOOKUP(B63,[22]AKSoftSalesReport!$A:$B,2,0)</f>
        <v>67421</v>
      </c>
      <c r="BK63" s="28">
        <v>405128</v>
      </c>
    </row>
    <row r="64" spans="1:63" x14ac:dyDescent="0.3">
      <c r="A64" s="239">
        <v>61</v>
      </c>
      <c r="B64" s="89" t="s">
        <v>9</v>
      </c>
      <c r="C64" s="70">
        <f>VLOOKUP(B64,[3]AKSoftSalesReport!$B$2:$C$87,2,0)</f>
        <v>387394.81</v>
      </c>
      <c r="D64" s="7">
        <f t="shared" si="6"/>
        <v>7.3136362459017376E-2</v>
      </c>
      <c r="E64" s="85">
        <f t="shared" si="7"/>
        <v>446131.81100000598</v>
      </c>
      <c r="F64" s="70">
        <v>338804.37</v>
      </c>
      <c r="G64" s="7">
        <f t="shared" si="8"/>
        <v>6.396296121524972E-2</v>
      </c>
      <c r="H64" s="85">
        <f t="shared" si="9"/>
        <v>390174.06341302331</v>
      </c>
      <c r="I64" s="70">
        <v>390795</v>
      </c>
      <c r="J64" s="7">
        <f t="shared" si="10"/>
        <v>7.3778285174165584E-2</v>
      </c>
      <c r="K64" s="85">
        <f t="shared" si="11"/>
        <v>450047.53956241003</v>
      </c>
      <c r="L64" s="6">
        <v>425689.43</v>
      </c>
      <c r="M64" s="7">
        <f t="shared" si="12"/>
        <v>8.0366013286167937E-2</v>
      </c>
      <c r="N64" s="85">
        <f t="shared" si="13"/>
        <v>490232.68104562443</v>
      </c>
      <c r="O64" s="6">
        <v>487800</v>
      </c>
      <c r="P64" s="7">
        <f t="shared" si="14"/>
        <v>9.2091883232789509E-2</v>
      </c>
      <c r="Q64" s="85">
        <f t="shared" si="15"/>
        <v>561760.48772001604</v>
      </c>
      <c r="R64" s="6">
        <v>415725</v>
      </c>
      <c r="S64" s="7">
        <f t="shared" si="16"/>
        <v>7.8484826070011102E-2</v>
      </c>
      <c r="T64" s="85">
        <f t="shared" si="17"/>
        <v>478757.43902706774</v>
      </c>
      <c r="U64" s="71">
        <f>VLOOKUP(B64,[9]AKSoftSalesReport!$B$2:$C$94,2,0)</f>
        <v>467742</v>
      </c>
      <c r="V64" s="7">
        <f t="shared" si="18"/>
        <v>8.830512842778071E-2</v>
      </c>
      <c r="W64" s="85">
        <f t="shared" si="19"/>
        <v>538661.28340946231</v>
      </c>
      <c r="X64" s="71">
        <f>VLOOKUP(B64,[10]AKSoftSalesReport!$B$2:$C$94,2,0)</f>
        <v>462563.25000000006</v>
      </c>
      <c r="Y64" s="7">
        <f t="shared" si="20"/>
        <v>8.7327430928207508E-2</v>
      </c>
      <c r="Z64" s="85">
        <f t="shared" si="21"/>
        <v>532697.32866206579</v>
      </c>
      <c r="AA64" s="71">
        <f>VLOOKUP(B64,[11]AKSoftSalesReport!$B$2:$C$94,2,0)</f>
        <v>458700.18</v>
      </c>
      <c r="AB64" s="7">
        <f t="shared" si="22"/>
        <v>8.6598120982819854E-2</v>
      </c>
      <c r="AC64" s="85">
        <f t="shared" si="23"/>
        <v>528248.53799520107</v>
      </c>
      <c r="AD64" s="51">
        <f>VLOOKUP(B64,[12]AKSoftSalesReport!$B$2:$C$89,2,0)</f>
        <v>453683.02</v>
      </c>
      <c r="AE64" s="7">
        <f t="shared" si="24"/>
        <v>8.565093009950657E-2</v>
      </c>
      <c r="AF64" s="85">
        <f t="shared" si="25"/>
        <v>522470.67360699008</v>
      </c>
      <c r="AG64" s="154">
        <f>VLOOKUP(B64,[13]AKSoftSalesReport!$B$2:$C$90,2,0)</f>
        <v>483034.02</v>
      </c>
      <c r="AH64" s="7">
        <f t="shared" si="26"/>
        <v>9.1192112684101906E-2</v>
      </c>
      <c r="AI64" s="85">
        <f t="shared" si="27"/>
        <v>556271.88737302157</v>
      </c>
      <c r="AJ64" s="104">
        <f>VLOOKUP(B64,[14]AKSoftSalesReport!$A:$D,4,0)</f>
        <v>529887.67214285734</v>
      </c>
      <c r="AK64" s="7">
        <f t="shared" si="28"/>
        <v>0.10003762531667623</v>
      </c>
      <c r="AL64" s="85">
        <f t="shared" si="29"/>
        <v>610229.51443172502</v>
      </c>
      <c r="AM64" s="6">
        <f t="shared" si="4"/>
        <v>5301818.7521428578</v>
      </c>
      <c r="AN64" s="155"/>
      <c r="AO64" s="73">
        <v>5296883.7521428578</v>
      </c>
      <c r="AP64" s="87">
        <f t="shared" si="30"/>
        <v>6091416.3149642861</v>
      </c>
      <c r="AQ64" s="237">
        <v>0.15</v>
      </c>
      <c r="AR64" s="1">
        <v>6100000</v>
      </c>
      <c r="AS64" s="240">
        <f t="shared" si="31"/>
        <v>6105683.2472466137</v>
      </c>
      <c r="AT64" s="31">
        <f t="shared" si="36"/>
        <v>5683.247246613726</v>
      </c>
      <c r="AU64" s="28">
        <f t="shared" si="5"/>
        <v>-4935</v>
      </c>
      <c r="AZ64" s="28">
        <v>135840</v>
      </c>
      <c r="BA64" s="28">
        <f t="shared" si="33"/>
        <v>289849.43</v>
      </c>
      <c r="BB64" s="253">
        <v>126077</v>
      </c>
      <c r="BC64" s="28">
        <v>425689.43</v>
      </c>
      <c r="BD64" s="28">
        <f>VLOOKUP(B64,[20]AKSoftSalesReport!$A:$B,2,0)</f>
        <v>64752</v>
      </c>
      <c r="BE64" s="28">
        <f t="shared" si="34"/>
        <v>423048</v>
      </c>
      <c r="BF64" s="28">
        <f>VLOOKUP(B64,[21]AKSoftSalesReport!$A:$B,2,0)</f>
        <v>66233</v>
      </c>
      <c r="BG64" s="28">
        <v>487800</v>
      </c>
      <c r="BH64" s="28">
        <v>66233</v>
      </c>
      <c r="BI64" s="28">
        <f t="shared" si="35"/>
        <v>349492</v>
      </c>
      <c r="BJ64" s="28">
        <f>VLOOKUP(B64,[22]AKSoftSalesReport!$A:$B,2,0)</f>
        <v>69687</v>
      </c>
      <c r="BK64" s="28">
        <v>415725</v>
      </c>
    </row>
    <row r="65" spans="1:63" x14ac:dyDescent="0.3">
      <c r="A65" s="61">
        <v>62</v>
      </c>
      <c r="B65" s="90" t="s">
        <v>93</v>
      </c>
      <c r="C65" s="70">
        <f>VLOOKUP(B65,[3]AKSoftSalesReport!$B$2:$C$87,2,0)</f>
        <v>1574635</v>
      </c>
      <c r="D65" s="7">
        <f t="shared" si="6"/>
        <v>7.3427769612226357E-2</v>
      </c>
      <c r="E65" s="85">
        <f t="shared" si="7"/>
        <v>1857722.5711893269</v>
      </c>
      <c r="F65" s="70">
        <v>1212908</v>
      </c>
      <c r="G65" s="7">
        <f t="shared" si="8"/>
        <v>5.6559856211011596E-2</v>
      </c>
      <c r="H65" s="85">
        <f t="shared" si="9"/>
        <v>1430964.3621385933</v>
      </c>
      <c r="I65" s="70">
        <v>1238740</v>
      </c>
      <c r="J65" s="7">
        <f t="shared" si="10"/>
        <v>5.776444403271188E-2</v>
      </c>
      <c r="K65" s="85">
        <f t="shared" si="11"/>
        <v>1461440.4340276106</v>
      </c>
      <c r="L65" s="6">
        <v>1490767.6999999997</v>
      </c>
      <c r="M65" s="7">
        <f t="shared" si="12"/>
        <v>6.9516902152529661E-2</v>
      </c>
      <c r="N65" s="85">
        <f t="shared" si="13"/>
        <v>1758777.6244590005</v>
      </c>
      <c r="O65" s="6">
        <v>1805872.3000000005</v>
      </c>
      <c r="P65" s="7">
        <f t="shared" si="14"/>
        <v>8.4210737849407233E-2</v>
      </c>
      <c r="Q65" s="85">
        <f t="shared" si="15"/>
        <v>2130531.667590003</v>
      </c>
      <c r="R65" s="6">
        <v>1694495.0200000023</v>
      </c>
      <c r="S65" s="7">
        <f t="shared" si="16"/>
        <v>7.9017035654373902E-2</v>
      </c>
      <c r="T65" s="85">
        <f t="shared" si="17"/>
        <v>1999131.0020556597</v>
      </c>
      <c r="U65" s="71">
        <f>VLOOKUP(B65,[9]AKSoftSalesReport!$B$2:$C$94,2,0)</f>
        <v>1792490.7200000002</v>
      </c>
      <c r="V65" s="7">
        <f t="shared" si="18"/>
        <v>8.3586733192272333E-2</v>
      </c>
      <c r="W65" s="85">
        <f t="shared" si="19"/>
        <v>2114744.34976449</v>
      </c>
      <c r="X65" s="71">
        <f>VLOOKUP(B65,[10]AKSoftSalesReport!$B$2:$C$94,2,0)</f>
        <v>2002017.0500000007</v>
      </c>
      <c r="Y65" s="7">
        <f t="shared" si="20"/>
        <v>9.335728388302629E-2</v>
      </c>
      <c r="Z65" s="85">
        <f t="shared" si="21"/>
        <v>2361939.2822405649</v>
      </c>
      <c r="AA65" s="71">
        <f>VLOOKUP(B65,[11]AKSoftSalesReport!$B$2:$C$94,2,0)</f>
        <v>2127538.3400000003</v>
      </c>
      <c r="AB65" s="7">
        <f t="shared" si="22"/>
        <v>9.9210544075737248E-2</v>
      </c>
      <c r="AC65" s="85">
        <f t="shared" si="23"/>
        <v>2510026.7651161524</v>
      </c>
      <c r="AD65" s="51">
        <f>VLOOKUP(B65,[12]AKSoftSalesReport!$B$2:$C$89,2,0)</f>
        <v>2238845.689999993</v>
      </c>
      <c r="AE65" s="7">
        <f t="shared" si="24"/>
        <v>0.10440098532208761</v>
      </c>
      <c r="AF65" s="85">
        <f t="shared" si="25"/>
        <v>2641344.9286488164</v>
      </c>
      <c r="AG65" s="154">
        <f>VLOOKUP(B65,[13]AKSoftSalesReport!$B$2:$C$90,2,0)</f>
        <v>2138758</v>
      </c>
      <c r="AH65" s="7">
        <f t="shared" si="26"/>
        <v>9.9733734916540029E-2</v>
      </c>
      <c r="AI65" s="85">
        <f t="shared" si="27"/>
        <v>2523263.4933884628</v>
      </c>
      <c r="AJ65" s="104">
        <f>VLOOKUP(B65,[14]AKSoftSalesReport!$A:$D,4,0)</f>
        <v>2115972.6242857152</v>
      </c>
      <c r="AK65" s="7">
        <f t="shared" si="28"/>
        <v>9.8671216098860676E-2</v>
      </c>
      <c r="AL65" s="85">
        <f t="shared" si="29"/>
        <v>2496381.7673011753</v>
      </c>
      <c r="AM65" s="6">
        <f t="shared" si="4"/>
        <v>21433040.444285713</v>
      </c>
      <c r="AN65" s="155"/>
      <c r="AO65" s="73">
        <v>21444679.694285713</v>
      </c>
      <c r="AP65" s="87">
        <f t="shared" si="30"/>
        <v>25304722.039257143</v>
      </c>
      <c r="AQ65" s="237">
        <v>0.18</v>
      </c>
      <c r="AR65" s="1">
        <v>25300000</v>
      </c>
      <c r="AS65" s="240">
        <f t="shared" si="31"/>
        <v>25286268.247919858</v>
      </c>
      <c r="AT65" s="31">
        <f t="shared" si="36"/>
        <v>-13731.752080142498</v>
      </c>
      <c r="AU65" s="28">
        <f t="shared" si="5"/>
        <v>11639.25</v>
      </c>
      <c r="AZ65" s="28">
        <v>496455</v>
      </c>
      <c r="BA65" s="28">
        <f t="shared" si="33"/>
        <v>994312.69999999972</v>
      </c>
      <c r="BB65" s="253">
        <v>491781.5</v>
      </c>
      <c r="BC65" s="28">
        <v>1490767.6999999997</v>
      </c>
      <c r="BD65" s="28">
        <f>VLOOKUP(B65,[20]AKSoftSalesReport!$A:$B,2,0)</f>
        <v>297708</v>
      </c>
      <c r="BE65" s="28">
        <f t="shared" si="34"/>
        <v>1508164.3000000005</v>
      </c>
      <c r="BF65" s="28">
        <f>VLOOKUP(B65,[21]AKSoftSalesReport!$A:$B,2,0)</f>
        <v>244218.8</v>
      </c>
      <c r="BG65" s="28">
        <v>1805872.3000000005</v>
      </c>
      <c r="BH65" s="28">
        <v>244218.8</v>
      </c>
      <c r="BI65" s="28">
        <f t="shared" si="35"/>
        <v>1450276.2200000023</v>
      </c>
      <c r="BJ65" s="28">
        <f>VLOOKUP(B65,[22]AKSoftSalesReport!$A:$B,2,0)</f>
        <v>286068.75000000012</v>
      </c>
      <c r="BK65" s="28">
        <v>1694495.0200000023</v>
      </c>
    </row>
    <row r="66" spans="1:63" x14ac:dyDescent="0.3">
      <c r="A66" s="239">
        <v>63</v>
      </c>
      <c r="B66" s="89" t="s">
        <v>100</v>
      </c>
      <c r="C66" s="70">
        <f>VLOOKUP(B66,[3]AKSoftSalesReport!$B$2:$C$87,2,0)</f>
        <v>968317.5</v>
      </c>
      <c r="D66" s="7">
        <f t="shared" si="6"/>
        <v>7.3122682960791011E-2</v>
      </c>
      <c r="E66" s="85">
        <f t="shared" si="7"/>
        <v>1161919.4322469691</v>
      </c>
      <c r="F66" s="70">
        <v>883322.36</v>
      </c>
      <c r="G66" s="7">
        <f t="shared" si="8"/>
        <v>6.6704258554097909E-2</v>
      </c>
      <c r="H66" s="85">
        <f t="shared" si="9"/>
        <v>1059930.6684246159</v>
      </c>
      <c r="I66" s="70">
        <v>901532</v>
      </c>
      <c r="J66" s="7">
        <f t="shared" si="10"/>
        <v>6.8079363034343435E-2</v>
      </c>
      <c r="K66" s="85">
        <f t="shared" si="11"/>
        <v>1081781.0786157171</v>
      </c>
      <c r="L66" s="6">
        <v>1040187</v>
      </c>
      <c r="M66" s="7">
        <f t="shared" si="12"/>
        <v>7.8549922128781438E-2</v>
      </c>
      <c r="N66" s="85">
        <f t="shared" si="13"/>
        <v>1248158.2626263371</v>
      </c>
      <c r="O66" s="6">
        <v>1204757.24</v>
      </c>
      <c r="P66" s="7">
        <f t="shared" si="14"/>
        <v>9.097747557514721E-2</v>
      </c>
      <c r="Q66" s="85">
        <f t="shared" si="15"/>
        <v>1445632.0868890891</v>
      </c>
      <c r="R66" s="6">
        <v>1015896.0600000012</v>
      </c>
      <c r="S66" s="7">
        <f t="shared" si="16"/>
        <v>7.671558710494937E-2</v>
      </c>
      <c r="T66" s="85">
        <f t="shared" si="17"/>
        <v>1219010.6790976455</v>
      </c>
      <c r="U66" s="71">
        <f>VLOOKUP(B66,[9]AKSoftSalesReport!$B$2:$C$94,2,0)</f>
        <v>1318275.1300000004</v>
      </c>
      <c r="V66" s="7">
        <f t="shared" si="18"/>
        <v>9.9549800954837217E-2</v>
      </c>
      <c r="W66" s="85">
        <f t="shared" si="19"/>
        <v>1581846.3371723634</v>
      </c>
      <c r="X66" s="71">
        <f>VLOOKUP(B66,[10]AKSoftSalesReport!$B$2:$C$94,2,0)</f>
        <v>1316627.3500000003</v>
      </c>
      <c r="Y66" s="7">
        <f t="shared" si="20"/>
        <v>9.942536853000844E-2</v>
      </c>
      <c r="Z66" s="85">
        <f t="shared" si="21"/>
        <v>1579869.1059418342</v>
      </c>
      <c r="AA66" s="71">
        <f>VLOOKUP(B66,[11]AKSoftSalesReport!$B$2:$C$94,2,0)</f>
        <v>1243512.05</v>
      </c>
      <c r="AB66" s="7">
        <f t="shared" si="22"/>
        <v>9.3904052534497531E-2</v>
      </c>
      <c r="AC66" s="85">
        <f t="shared" si="23"/>
        <v>1492135.3947731657</v>
      </c>
      <c r="AD66" s="51">
        <f>VLOOKUP(B66,[12]AKSoftSalesReport!$B$2:$C$89,2,0)</f>
        <v>1198732.2000000007</v>
      </c>
      <c r="AE66" s="7">
        <f t="shared" si="24"/>
        <v>9.0522493516322466E-2</v>
      </c>
      <c r="AF66" s="85">
        <f t="shared" si="25"/>
        <v>1438402.421974364</v>
      </c>
      <c r="AG66" s="154">
        <f>VLOOKUP(B66,[13]AKSoftSalesReport!$B$2:$C$90,2,0)</f>
        <v>1100439.2000000002</v>
      </c>
      <c r="AH66" s="7">
        <f t="shared" si="26"/>
        <v>8.3099878644376984E-2</v>
      </c>
      <c r="AI66" s="85">
        <f t="shared" si="27"/>
        <v>1320457.0716591503</v>
      </c>
      <c r="AJ66" s="104">
        <f>VLOOKUP(B66,[14]AKSoftSalesReport!$A:$D,4,0)</f>
        <v>1040120.3257142863</v>
      </c>
      <c r="AK66" s="7">
        <f t="shared" si="28"/>
        <v>7.8544887207223288E-2</v>
      </c>
      <c r="AL66" s="85">
        <f t="shared" si="29"/>
        <v>1248078.257722778</v>
      </c>
      <c r="AM66" s="6">
        <f t="shared" si="4"/>
        <v>13231718.415714288</v>
      </c>
      <c r="AN66" s="155"/>
      <c r="AO66" s="73">
        <v>13242368.315714289</v>
      </c>
      <c r="AP66" s="87">
        <f t="shared" si="30"/>
        <v>15890841.978857147</v>
      </c>
      <c r="AQ66" s="237">
        <v>0.2</v>
      </c>
      <c r="AR66" s="1">
        <v>15890000</v>
      </c>
      <c r="AS66" s="240">
        <f t="shared" si="31"/>
        <v>15877220.797144029</v>
      </c>
      <c r="AT66" s="31">
        <f t="shared" si="36"/>
        <v>-12779.202855970711</v>
      </c>
      <c r="AU66" s="28">
        <f t="shared" si="5"/>
        <v>10649.900000000373</v>
      </c>
      <c r="AZ66" s="28">
        <v>360181</v>
      </c>
      <c r="BA66" s="28">
        <f t="shared" si="33"/>
        <v>680006</v>
      </c>
      <c r="BB66" s="253">
        <v>328040</v>
      </c>
      <c r="BC66" s="28">
        <v>1040187</v>
      </c>
      <c r="BD66" s="28">
        <f>VLOOKUP(B66,[20]AKSoftSalesReport!$A:$B,2,0)</f>
        <v>192833</v>
      </c>
      <c r="BE66" s="28">
        <f t="shared" si="34"/>
        <v>1011924.24</v>
      </c>
      <c r="BF66" s="28">
        <f>VLOOKUP(B66,[21]AKSoftSalesReport!$A:$B,2,0)</f>
        <v>201547.24000000002</v>
      </c>
      <c r="BG66" s="28">
        <v>1204757.24</v>
      </c>
      <c r="BH66" s="28">
        <v>201547.24000000002</v>
      </c>
      <c r="BI66" s="28">
        <f t="shared" si="35"/>
        <v>814348.82000000123</v>
      </c>
      <c r="BJ66" s="28">
        <f>VLOOKUP(B66,[22]AKSoftSalesReport!$A:$B,2,0)</f>
        <v>182183.10000000003</v>
      </c>
      <c r="BK66" s="28">
        <v>1015896.0600000012</v>
      </c>
    </row>
    <row r="67" spans="1:63" x14ac:dyDescent="0.3">
      <c r="A67" s="61">
        <v>64</v>
      </c>
      <c r="B67" s="90" t="s">
        <v>85</v>
      </c>
      <c r="C67" s="70">
        <f>VLOOKUP(B67,[3]AKSoftSalesReport!$B$2:$C$87,2,0)</f>
        <v>4287347.1899999296</v>
      </c>
      <c r="D67" s="7">
        <f t="shared" si="6"/>
        <v>7.972577238595091E-2</v>
      </c>
      <c r="E67" s="85">
        <f t="shared" si="7"/>
        <v>4930241.764347204</v>
      </c>
      <c r="F67" s="70">
        <v>3367450</v>
      </c>
      <c r="G67" s="7">
        <f t="shared" si="8"/>
        <v>6.261973670974727E-2</v>
      </c>
      <c r="H67" s="85">
        <f t="shared" si="9"/>
        <v>3872404.5181307714</v>
      </c>
      <c r="I67" s="70">
        <v>3479087</v>
      </c>
      <c r="J67" s="7">
        <f t="shared" si="10"/>
        <v>6.4695693159602816E-2</v>
      </c>
      <c r="K67" s="85">
        <f t="shared" si="11"/>
        <v>4000781.6649898379</v>
      </c>
      <c r="L67" s="6">
        <v>4167545.0399999972</v>
      </c>
      <c r="M67" s="7">
        <f t="shared" si="12"/>
        <v>7.7497980112789494E-2</v>
      </c>
      <c r="N67" s="85">
        <f t="shared" si="13"/>
        <v>4792475.0901749022</v>
      </c>
      <c r="O67" s="6">
        <v>4663719.6799999662</v>
      </c>
      <c r="P67" s="7">
        <f t="shared" si="14"/>
        <v>8.6724642815680916E-2</v>
      </c>
      <c r="Q67" s="85">
        <f t="shared" si="15"/>
        <v>5363051.9117217083</v>
      </c>
      <c r="R67" s="6">
        <v>4569568.3299999405</v>
      </c>
      <c r="S67" s="7">
        <f t="shared" si="16"/>
        <v>8.4973842433234581E-2</v>
      </c>
      <c r="T67" s="85">
        <f t="shared" si="17"/>
        <v>5254782.4160712268</v>
      </c>
      <c r="U67" s="71">
        <f>VLOOKUP(B67,[9]AKSoftSalesReport!$B$2:$C$94,2,0)</f>
        <v>4997254.0699999984</v>
      </c>
      <c r="V67" s="7">
        <f t="shared" si="18"/>
        <v>9.2926913283081516E-2</v>
      </c>
      <c r="W67" s="85">
        <f t="shared" si="19"/>
        <v>5746600.3174257614</v>
      </c>
      <c r="X67" s="71">
        <f>VLOOKUP(B67,[10]AKSoftSalesReport!$B$2:$C$94,2,0)</f>
        <v>4904569.8299999619</v>
      </c>
      <c r="Y67" s="7">
        <f t="shared" si="20"/>
        <v>9.1203394684157904E-2</v>
      </c>
      <c r="Z67" s="85">
        <f t="shared" si="21"/>
        <v>5640017.9272683244</v>
      </c>
      <c r="AA67" s="71">
        <f>VLOOKUP(B67,[11]AKSoftSalesReport!$B$2:$C$94,2,0)</f>
        <v>4910969.2399999965</v>
      </c>
      <c r="AB67" s="7">
        <f t="shared" si="22"/>
        <v>9.1322395521378913E-2</v>
      </c>
      <c r="AC67" s="85">
        <f t="shared" si="23"/>
        <v>5647376.9390420718</v>
      </c>
      <c r="AD67" s="51">
        <f>VLOOKUP(B67,[12]AKSoftSalesReport!$B$2:$C$89,2,0)</f>
        <v>4871148.5999999903</v>
      </c>
      <c r="AE67" s="7">
        <f t="shared" si="24"/>
        <v>9.0581907023431205E-2</v>
      </c>
      <c r="AF67" s="85">
        <f t="shared" si="25"/>
        <v>5601585.1303289859</v>
      </c>
      <c r="AG67" s="154">
        <f>VLOOKUP(B67,[13]AKSoftSalesReport!$B$2:$C$90,2,0)</f>
        <v>4655754</v>
      </c>
      <c r="AH67" s="7">
        <f t="shared" si="26"/>
        <v>8.6576516255728431E-2</v>
      </c>
      <c r="AI67" s="85">
        <f t="shared" si="27"/>
        <v>5353891.7652542461</v>
      </c>
      <c r="AJ67" s="104">
        <f>VLOOKUP(B67,[14]AKSoftSalesReport!$A:$D,4,0)</f>
        <v>4836060.981428572</v>
      </c>
      <c r="AK67" s="7">
        <f t="shared" si="28"/>
        <v>8.9929431875555438E-2</v>
      </c>
      <c r="AL67" s="85">
        <f t="shared" si="29"/>
        <v>5561236.0671843486</v>
      </c>
      <c r="AM67" s="6">
        <f t="shared" si="4"/>
        <v>53710473.961428359</v>
      </c>
      <c r="AN67" s="155"/>
      <c r="AO67" s="73">
        <v>53776176.281428359</v>
      </c>
      <c r="AP67" s="87">
        <f t="shared" si="30"/>
        <v>61842602.72364261</v>
      </c>
      <c r="AQ67" s="237">
        <v>0.15</v>
      </c>
      <c r="AR67" s="1">
        <v>61840000</v>
      </c>
      <c r="AS67" s="240">
        <f t="shared" si="31"/>
        <v>61764445.511939391</v>
      </c>
      <c r="AT67" s="31">
        <f t="shared" si="36"/>
        <v>-75554.488060608506</v>
      </c>
      <c r="AU67" s="28">
        <f t="shared" si="5"/>
        <v>65702.320000000298</v>
      </c>
      <c r="AZ67" s="28">
        <v>1423369</v>
      </c>
      <c r="BA67" s="28">
        <f t="shared" si="33"/>
        <v>2744176.0399999972</v>
      </c>
      <c r="BB67" s="253">
        <v>1413177.5</v>
      </c>
      <c r="BC67" s="28">
        <v>4167545.0399999972</v>
      </c>
      <c r="BD67" s="28">
        <f>VLOOKUP(B67,[20]AKSoftSalesReport!$A:$B,2,0)</f>
        <v>799216.87000000058</v>
      </c>
      <c r="BE67" s="28">
        <f t="shared" si="34"/>
        <v>3864502.8099999656</v>
      </c>
      <c r="BF67" s="28">
        <f>VLOOKUP(B67,[21]AKSoftSalesReport!$A:$B,2,0)</f>
        <v>944486.6400000006</v>
      </c>
      <c r="BG67" s="28">
        <v>4663719.6799999662</v>
      </c>
      <c r="BH67" s="28">
        <v>944486.6400000006</v>
      </c>
      <c r="BI67" s="28">
        <f t="shared" si="35"/>
        <v>3625081.6899999399</v>
      </c>
      <c r="BJ67" s="28">
        <f>VLOOKUP(B67,[22]AKSoftSalesReport!$A:$B,2,0)</f>
        <v>733514.55000000098</v>
      </c>
      <c r="BK67" s="28">
        <v>4569568.3299999405</v>
      </c>
    </row>
    <row r="68" spans="1:63" x14ac:dyDescent="0.3">
      <c r="A68" s="239">
        <v>65</v>
      </c>
      <c r="B68" s="89" t="s">
        <v>87</v>
      </c>
      <c r="C68" s="70">
        <f>VLOOKUP(B68,[3]AKSoftSalesReport!$B$2:$C$87,2,0)</f>
        <v>1066546.7300000007</v>
      </c>
      <c r="D68" s="7">
        <f t="shared" si="6"/>
        <v>8.0216631820763801E-2</v>
      </c>
      <c r="E68" s="85">
        <v>1300000</v>
      </c>
      <c r="F68" s="70">
        <v>893802</v>
      </c>
      <c r="G68" s="7">
        <f t="shared" si="8"/>
        <v>6.7224233067277109E-2</v>
      </c>
      <c r="H68" s="85">
        <v>1100000</v>
      </c>
      <c r="I68" s="70">
        <v>1002390</v>
      </c>
      <c r="J68" s="7">
        <f t="shared" si="10"/>
        <v>7.5391304768067102E-2</v>
      </c>
      <c r="K68" s="85">
        <v>1250000</v>
      </c>
      <c r="L68" s="6">
        <v>1098323.5400000003</v>
      </c>
      <c r="M68" s="7">
        <f t="shared" si="12"/>
        <v>8.2606614928403474E-2</v>
      </c>
      <c r="N68" s="85">
        <v>1380000</v>
      </c>
      <c r="O68" s="6">
        <v>1154472.3100000005</v>
      </c>
      <c r="P68" s="7">
        <f t="shared" si="14"/>
        <v>8.6829650903844285E-2</v>
      </c>
      <c r="Q68" s="85">
        <v>1440000</v>
      </c>
      <c r="R68" s="6">
        <v>1096218.8200000008</v>
      </c>
      <c r="S68" s="7">
        <f t="shared" si="16"/>
        <v>8.2448315676643763E-2</v>
      </c>
      <c r="T68" s="85">
        <v>1370000</v>
      </c>
      <c r="U68" s="71">
        <f>VLOOKUP(B68,[9]AKSoftSalesReport!$B$2:$C$94,2,0)</f>
        <v>1292651.1300000011</v>
      </c>
      <c r="V68" s="7">
        <f t="shared" si="18"/>
        <v>9.7222294017913588E-2</v>
      </c>
      <c r="W68" s="85">
        <v>1620000</v>
      </c>
      <c r="X68" s="71">
        <f>VLOOKUP(B68,[10]AKSoftSalesReport!$B$2:$C$94,2,0)</f>
        <v>1313665.1199999999</v>
      </c>
      <c r="Y68" s="7">
        <f t="shared" si="20"/>
        <v>9.8802788759963109E-2</v>
      </c>
      <c r="Z68" s="85">
        <v>1640000</v>
      </c>
      <c r="AA68" s="71">
        <f>VLOOKUP(B68,[11]AKSoftSalesReport!$B$2:$C$94,2,0)</f>
        <v>1174669.76</v>
      </c>
      <c r="AB68" s="7">
        <f t="shared" si="22"/>
        <v>8.8348732407538211E-2</v>
      </c>
      <c r="AC68" s="85">
        <v>1470000</v>
      </c>
      <c r="AD68" s="51">
        <f>VLOOKUP(B68,[12]AKSoftSalesReport!$B$2:$C$89,2,0)</f>
        <v>1260892.0000000007</v>
      </c>
      <c r="AE68" s="7">
        <f t="shared" si="24"/>
        <v>9.4833640650463097E-2</v>
      </c>
      <c r="AF68" s="85">
        <v>1570000</v>
      </c>
      <c r="AG68" s="154">
        <f>VLOOKUP(B68,[13]AKSoftSalesReport!$B$2:$C$90,2,0)</f>
        <v>894414</v>
      </c>
      <c r="AH68" s="7">
        <f t="shared" si="26"/>
        <v>6.7270262535366443E-2</v>
      </c>
      <c r="AI68" s="85">
        <v>1120000</v>
      </c>
      <c r="AJ68" s="104">
        <f>VLOOKUP(B68,[14]AKSoftSalesReport!$A:$D,4,0)</f>
        <v>1100528.7857142857</v>
      </c>
      <c r="AK68" s="7">
        <f t="shared" si="28"/>
        <v>8.2772474874865581E-2</v>
      </c>
      <c r="AL68" s="85">
        <v>1360000</v>
      </c>
      <c r="AM68" s="6">
        <f t="shared" si="4"/>
        <v>13348574.195714289</v>
      </c>
      <c r="AN68" s="155"/>
      <c r="AO68" s="73">
        <v>13295830.375714289</v>
      </c>
      <c r="AP68" s="87">
        <f t="shared" si="30"/>
        <v>16619787.969642861</v>
      </c>
      <c r="AQ68" s="262">
        <v>0.25</v>
      </c>
      <c r="AR68" s="1">
        <v>16620000</v>
      </c>
      <c r="AS68" s="240">
        <f t="shared" si="31"/>
        <v>16620000</v>
      </c>
      <c r="AT68" s="31">
        <f t="shared" si="36"/>
        <v>0</v>
      </c>
      <c r="AU68" s="28">
        <f t="shared" si="5"/>
        <v>-52743.820000000298</v>
      </c>
      <c r="AV68" s="261">
        <f>AP68-AR68</f>
        <v>-212.03035713918507</v>
      </c>
      <c r="AZ68" s="28">
        <v>411293</v>
      </c>
      <c r="BA68" s="28">
        <f t="shared" ref="BA68:BA93" si="37">L68-AZ68</f>
        <v>687030.54000000027</v>
      </c>
      <c r="BB68" s="253">
        <v>416076</v>
      </c>
      <c r="BC68" s="28">
        <v>1098323.5400000003</v>
      </c>
      <c r="BD68" s="28">
        <f>VLOOKUP(B68,[20]AKSoftSalesReport!$A:$B,2,0)</f>
        <v>148149.72</v>
      </c>
      <c r="BE68" s="28">
        <f t="shared" ref="BE68:BE93" si="38">O68-BD68</f>
        <v>1006322.5900000005</v>
      </c>
      <c r="BF68" s="28">
        <f>VLOOKUP(B68,[21]AKSoftSalesReport!$A:$B,2,0)</f>
        <v>303618.2300000001</v>
      </c>
      <c r="BG68" s="28">
        <v>1154472.3100000005</v>
      </c>
      <c r="BH68" s="28">
        <v>303618.2300000001</v>
      </c>
      <c r="BI68" s="28">
        <f t="shared" ref="BI68:BI81" si="39">R68-BH68</f>
        <v>792600.59000000067</v>
      </c>
      <c r="BJ68" s="28">
        <f>VLOOKUP(B68,[22]AKSoftSalesReport!$A:$B,2,0)</f>
        <v>200893.54000000007</v>
      </c>
      <c r="BK68" s="28">
        <v>1096218.8200000008</v>
      </c>
    </row>
    <row r="69" spans="1:63" x14ac:dyDescent="0.3">
      <c r="A69" s="61">
        <v>66</v>
      </c>
      <c r="B69" s="106" t="s">
        <v>223</v>
      </c>
      <c r="C69" s="70">
        <f>VLOOKUP(B69,[3]AKSoftSalesReport!$B$2:$C$87,2,0)</f>
        <v>355438</v>
      </c>
      <c r="D69" s="7">
        <f t="shared" si="6"/>
        <v>2.491937100685835E-2</v>
      </c>
      <c r="E69" s="85">
        <f t="shared" ref="E69:E93" si="40">D69*AR69</f>
        <v>480196.27930216043</v>
      </c>
      <c r="F69" s="70">
        <v>625325.5</v>
      </c>
      <c r="G69" s="7">
        <f t="shared" si="8"/>
        <v>4.3840889647559347E-2</v>
      </c>
      <c r="H69" s="85">
        <f t="shared" ref="H69:H93" si="41">G69*AR69</f>
        <v>844813.94350846857</v>
      </c>
      <c r="I69" s="70">
        <v>849104</v>
      </c>
      <c r="J69" s="7">
        <f t="shared" si="10"/>
        <v>5.9529756524084231E-2</v>
      </c>
      <c r="K69" s="85">
        <f t="shared" ref="K69:K93" si="42">J69*AR69</f>
        <v>1147138.4082191032</v>
      </c>
      <c r="L69" s="6">
        <v>1001883.1000000001</v>
      </c>
      <c r="M69" s="7">
        <f t="shared" si="12"/>
        <v>7.0240932805162554E-2</v>
      </c>
      <c r="N69" s="85">
        <f t="shared" ref="N69:N93" si="43">M69*AR69</f>
        <v>1353542.7751554823</v>
      </c>
      <c r="O69" s="6">
        <v>1128988.99</v>
      </c>
      <c r="P69" s="7">
        <f t="shared" si="14"/>
        <v>7.9152188298573276E-2</v>
      </c>
      <c r="Q69" s="85">
        <f t="shared" ref="Q69:Q93" si="44">P69*AR69</f>
        <v>1525262.6685135071</v>
      </c>
      <c r="R69" s="6">
        <v>1093889.2300000016</v>
      </c>
      <c r="S69" s="7">
        <f t="shared" si="16"/>
        <v>7.6691382358601623E-2</v>
      </c>
      <c r="T69" s="85">
        <f t="shared" ref="T69:T93" si="45">S69*AR69</f>
        <v>1477842.9380502533</v>
      </c>
      <c r="U69" s="71">
        <f>VLOOKUP(B69,[9]AKSoftSalesReport!$B$2:$C$94,2,0)</f>
        <v>1449700.84</v>
      </c>
      <c r="V69" s="7">
        <f t="shared" si="18"/>
        <v>0.10163694675559225</v>
      </c>
      <c r="W69" s="85">
        <f t="shared" ref="W69:W93" si="46">V69*AR69</f>
        <v>1958543.9639802626</v>
      </c>
      <c r="X69" s="71">
        <f>VLOOKUP(B69,[10]AKSoftSalesReport!$B$2:$C$94,2,0)</f>
        <v>1529334.23</v>
      </c>
      <c r="Y69" s="7">
        <f t="shared" si="20"/>
        <v>0.10721995698506642</v>
      </c>
      <c r="Z69" s="85">
        <f t="shared" ref="Z69:Z93" si="47">Y69*AR69</f>
        <v>2066128.5711022299</v>
      </c>
      <c r="AA69" s="71">
        <f>VLOOKUP(B69,[11]AKSoftSalesReport!$B$2:$C$94,2,0)</f>
        <v>1523162.6500000004</v>
      </c>
      <c r="AB69" s="7">
        <f t="shared" si="22"/>
        <v>0.10678727423387353</v>
      </c>
      <c r="AC69" s="85">
        <f t="shared" ref="AC69:AC93" si="48">AB69*AR69</f>
        <v>2057790.7744867429</v>
      </c>
      <c r="AD69" s="51">
        <f>VLOOKUP(B69,[12]AKSoftSalesReport!$B$2:$C$89,2,0)</f>
        <v>1533781.24</v>
      </c>
      <c r="AE69" s="7">
        <f t="shared" si="24"/>
        <v>0.10753173201210688</v>
      </c>
      <c r="AF69" s="85">
        <f t="shared" ref="AF69:AF93" si="49">AE69*AR69</f>
        <v>2072136.4758732994</v>
      </c>
      <c r="AG69" s="154">
        <f>VLOOKUP(B69,[13]AKSoftSalesReport!$B$2:$C$90,2,0)</f>
        <v>1359972</v>
      </c>
      <c r="AH69" s="7">
        <f t="shared" si="26"/>
        <v>9.5346155523436324E-2</v>
      </c>
      <c r="AI69" s="85">
        <f t="shared" ref="AI69:AI93" si="50">AH69*AR69</f>
        <v>1837320.416936618</v>
      </c>
      <c r="AJ69" s="104">
        <f>VLOOKUP(B69,[14]AKSoftSalesReport!$A:$D,4,0)</f>
        <v>1412942.3571428573</v>
      </c>
      <c r="AK69" s="7">
        <f t="shared" si="28"/>
        <v>9.905984956292746E-2</v>
      </c>
      <c r="AL69" s="85">
        <f t="shared" ref="AL69:AL93" si="51">AK69*AR69</f>
        <v>1908883.3010776122</v>
      </c>
      <c r="AM69" s="6">
        <f t="shared" ref="AM69:AM93" si="52">AJ69+AG69+AD69+AA69+X69+U69+R69+O69+L69+I69+F69+C69</f>
        <v>13863522.137142859</v>
      </c>
      <c r="AN69" s="155"/>
      <c r="AO69" s="101">
        <f>AM69+400000</f>
        <v>14263522.137142859</v>
      </c>
      <c r="AP69" s="87">
        <f t="shared" si="30"/>
        <v>19255754.885142859</v>
      </c>
      <c r="AQ69" s="237">
        <v>0.35</v>
      </c>
      <c r="AR69" s="1">
        <v>19270000</v>
      </c>
      <c r="AS69" s="240">
        <f t="shared" si="31"/>
        <v>18729600.516205739</v>
      </c>
      <c r="AT69" s="31">
        <f t="shared" si="36"/>
        <v>-540399.48379426077</v>
      </c>
      <c r="AU69" s="28"/>
      <c r="AV69" s="263">
        <f>AV68+AV63+AV40+AV33+AV29+AV27+AV15+AV14</f>
        <v>131.18500001262873</v>
      </c>
      <c r="AZ69" s="28">
        <v>361704</v>
      </c>
      <c r="BA69" s="28">
        <f t="shared" si="37"/>
        <v>640179.10000000009</v>
      </c>
      <c r="BB69" s="253">
        <v>265512</v>
      </c>
      <c r="BC69" s="28">
        <v>1001883.1000000001</v>
      </c>
      <c r="BD69" s="28">
        <f>VLOOKUP(B69,[20]AKSoftSalesReport!$A:$B,2,0)</f>
        <v>200980.16999999998</v>
      </c>
      <c r="BE69" s="28">
        <f t="shared" si="38"/>
        <v>928008.82000000007</v>
      </c>
      <c r="BF69" s="28">
        <f>VLOOKUP(B69,[21]AKSoftSalesReport!$A:$B,2,0)</f>
        <v>210549.20000000004</v>
      </c>
      <c r="BG69" s="28">
        <v>1128988.99</v>
      </c>
      <c r="BH69" s="28">
        <v>210549.20000000004</v>
      </c>
      <c r="BI69" s="28">
        <f t="shared" si="39"/>
        <v>883340.03000000154</v>
      </c>
      <c r="BJ69" s="28">
        <f>VLOOKUP(B69,[22]AKSoftSalesReport!$A:$B,2,0)</f>
        <v>189685.59000000011</v>
      </c>
      <c r="BK69" s="28">
        <v>1093889.2300000016</v>
      </c>
    </row>
    <row r="70" spans="1:63" x14ac:dyDescent="0.3">
      <c r="A70" s="239">
        <v>67</v>
      </c>
      <c r="B70" s="89" t="s">
        <v>18</v>
      </c>
      <c r="C70" s="70">
        <f>VLOOKUP(B70,[3]AKSoftSalesReport!$B$2:$C$87,2,0)</f>
        <v>3094203.1499999668</v>
      </c>
      <c r="D70" s="7">
        <f t="shared" si="6"/>
        <v>7.3073012572999932E-2</v>
      </c>
      <c r="E70" s="85">
        <f t="shared" si="40"/>
        <v>4022303.9770807815</v>
      </c>
      <c r="F70" s="70">
        <v>2436845.7999999975</v>
      </c>
      <c r="G70" s="7">
        <f t="shared" si="8"/>
        <v>5.7548795327761137E-2</v>
      </c>
      <c r="H70" s="85">
        <f t="shared" si="41"/>
        <v>3167773.4388166117</v>
      </c>
      <c r="I70" s="70">
        <v>2218191</v>
      </c>
      <c r="J70" s="7">
        <f t="shared" si="10"/>
        <v>5.2385021595080794E-2</v>
      </c>
      <c r="K70" s="85">
        <f t="shared" si="42"/>
        <v>2883533.5137012224</v>
      </c>
      <c r="L70" s="6">
        <v>3119426.5</v>
      </c>
      <c r="M70" s="7">
        <f t="shared" si="12"/>
        <v>7.3668689741671164E-2</v>
      </c>
      <c r="N70" s="85">
        <f t="shared" si="43"/>
        <v>4055093.026830289</v>
      </c>
      <c r="O70" s="6">
        <v>3612874.0299999947</v>
      </c>
      <c r="P70" s="7">
        <f t="shared" si="14"/>
        <v>8.5321996204049289E-2</v>
      </c>
      <c r="Q70" s="85">
        <f t="shared" si="44"/>
        <v>4696549.2810518928</v>
      </c>
      <c r="R70" s="6">
        <v>3812308.7999999081</v>
      </c>
      <c r="S70" s="7">
        <f t="shared" si="16"/>
        <v>9.003186777654032E-2</v>
      </c>
      <c r="T70" s="85">
        <f t="shared" si="45"/>
        <v>4955804.1617596615</v>
      </c>
      <c r="U70" s="71">
        <f>VLOOKUP(B70,[9]AKSoftSalesReport!$B$2:$C$94,2,0)</f>
        <v>4649653.7199999681</v>
      </c>
      <c r="V70" s="7">
        <f t="shared" si="18"/>
        <v>0.10980668956453528</v>
      </c>
      <c r="W70" s="85">
        <f t="shared" si="46"/>
        <v>6044309.2270798441</v>
      </c>
      <c r="X70" s="71">
        <f>VLOOKUP(B70,[10]AKSoftSalesReport!$B$2:$C$94,2,0)</f>
        <v>4558012.9099999443</v>
      </c>
      <c r="Y70" s="7">
        <f t="shared" si="20"/>
        <v>0.1076424909852236</v>
      </c>
      <c r="Z70" s="85">
        <f t="shared" si="47"/>
        <v>5925180.9162816331</v>
      </c>
      <c r="AA70" s="71">
        <f>VLOOKUP(B70,[11]AKSoftSalesReport!$B$2:$C$94,2,0)</f>
        <v>4038360.7999999868</v>
      </c>
      <c r="AB70" s="7">
        <f t="shared" si="22"/>
        <v>9.5370334527877479E-2</v>
      </c>
      <c r="AC70" s="85">
        <f t="shared" si="48"/>
        <v>5249660.0640870156</v>
      </c>
      <c r="AD70" s="51">
        <f>VLOOKUP(B70,[12]AKSoftSalesReport!$B$2:$C$89,2,0)</f>
        <v>3961979.2</v>
      </c>
      <c r="AE70" s="7">
        <f t="shared" si="24"/>
        <v>9.3566498985552166E-2</v>
      </c>
      <c r="AF70" s="85">
        <f t="shared" si="49"/>
        <v>5150367.9366597189</v>
      </c>
      <c r="AG70" s="154">
        <f>VLOOKUP(B70,[13]AKSoftSalesReport!$B$2:$C$90,2,0)</f>
        <v>3412038</v>
      </c>
      <c r="AH70" s="7">
        <f t="shared" si="26"/>
        <v>8.0579032334562845E-2</v>
      </c>
      <c r="AI70" s="85">
        <f t="shared" si="50"/>
        <v>4435472.8348560119</v>
      </c>
      <c r="AJ70" s="104">
        <f>VLOOKUP(B70,[14]AKSoftSalesReport!$A:$D,4,0)</f>
        <v>3495559.1142857145</v>
      </c>
      <c r="AK70" s="7">
        <f t="shared" si="28"/>
        <v>8.2551475363816115E-2</v>
      </c>
      <c r="AL70" s="85">
        <f t="shared" si="51"/>
        <v>4544045.9614012577</v>
      </c>
      <c r="AM70" s="6">
        <f t="shared" si="52"/>
        <v>42409453.02428548</v>
      </c>
      <c r="AN70" s="155"/>
      <c r="AO70" s="104">
        <v>42343993.234285481</v>
      </c>
      <c r="AP70" s="87">
        <f t="shared" si="30"/>
        <v>55047191.204571128</v>
      </c>
      <c r="AQ70" s="237">
        <v>0.3</v>
      </c>
      <c r="AR70" s="25">
        <v>55045000</v>
      </c>
      <c r="AS70" s="240">
        <f t="shared" si="31"/>
        <v>55130094.339605942</v>
      </c>
      <c r="AT70" s="31">
        <f t="shared" si="36"/>
        <v>85094.339605942369</v>
      </c>
      <c r="AU70" s="28">
        <f t="shared" ref="AU70:AU93" si="53">AO70-AM70</f>
        <v>-65459.789999999106</v>
      </c>
      <c r="AZ70" s="28">
        <v>1094214</v>
      </c>
      <c r="BA70" s="28">
        <f t="shared" si="37"/>
        <v>2025212.5</v>
      </c>
      <c r="BB70" s="253">
        <v>1011135.5</v>
      </c>
      <c r="BC70" s="28">
        <v>3119426.5</v>
      </c>
      <c r="BD70" s="28">
        <f>VLOOKUP(B70,[20]AKSoftSalesReport!$A:$B,2,0)</f>
        <v>572067.05000000051</v>
      </c>
      <c r="BE70" s="28">
        <f t="shared" si="38"/>
        <v>3040806.9799999939</v>
      </c>
      <c r="BF70" s="28">
        <f>VLOOKUP(B70,[21]AKSoftSalesReport!$A:$B,2,0)</f>
        <v>797658.26000000339</v>
      </c>
      <c r="BG70" s="28">
        <v>3612874.0299999947</v>
      </c>
      <c r="BH70" s="28">
        <v>797658.26000000339</v>
      </c>
      <c r="BI70" s="28">
        <f t="shared" si="39"/>
        <v>3014650.5399999046</v>
      </c>
      <c r="BJ70" s="28">
        <f>VLOOKUP(B70,[22]AKSoftSalesReport!$A:$B,2,0)</f>
        <v>637526.84000000264</v>
      </c>
      <c r="BK70" s="28">
        <v>3812308.7999999081</v>
      </c>
    </row>
    <row r="71" spans="1:63" x14ac:dyDescent="0.3">
      <c r="A71" s="61">
        <v>68</v>
      </c>
      <c r="B71" s="90" t="s">
        <v>11</v>
      </c>
      <c r="C71" s="70">
        <f>VLOOKUP(B71,[3]AKSoftSalesReport!$B$2:$C$87,2,0)</f>
        <v>735950.13000000187</v>
      </c>
      <c r="D71" s="7">
        <f t="shared" si="6"/>
        <v>8.1198302658872915E-2</v>
      </c>
      <c r="E71" s="85">
        <f t="shared" si="40"/>
        <v>956516.00532152294</v>
      </c>
      <c r="F71" s="70">
        <v>574005.87</v>
      </c>
      <c r="G71" s="7">
        <f t="shared" si="8"/>
        <v>6.3330788949285927E-2</v>
      </c>
      <c r="H71" s="85">
        <f t="shared" si="41"/>
        <v>746036.69382258819</v>
      </c>
      <c r="I71" s="70">
        <v>462539</v>
      </c>
      <c r="J71" s="7">
        <f t="shared" si="10"/>
        <v>5.1032509109730465E-2</v>
      </c>
      <c r="K71" s="85">
        <f t="shared" si="42"/>
        <v>601162.9573126249</v>
      </c>
      <c r="L71" s="6">
        <v>696638.06</v>
      </c>
      <c r="M71" s="7">
        <f t="shared" si="12"/>
        <v>7.6860952575101699E-2</v>
      </c>
      <c r="N71" s="85">
        <f t="shared" si="43"/>
        <v>905422.02133469796</v>
      </c>
      <c r="O71" s="6">
        <v>764956.31000000052</v>
      </c>
      <c r="P71" s="7">
        <f t="shared" si="14"/>
        <v>8.4398590948267779E-2</v>
      </c>
      <c r="Q71" s="85">
        <f t="shared" si="44"/>
        <v>994215.40137059439</v>
      </c>
      <c r="R71" s="6">
        <v>776939.67000000342</v>
      </c>
      <c r="S71" s="7">
        <f t="shared" si="16"/>
        <v>8.5720730115700861E-2</v>
      </c>
      <c r="T71" s="85">
        <f t="shared" si="45"/>
        <v>1009790.2007629562</v>
      </c>
      <c r="U71" s="71">
        <f>VLOOKUP(B71,[9]AKSoftSalesReport!$B$2:$C$94,2,0)</f>
        <v>889479.98000000149</v>
      </c>
      <c r="V71" s="7">
        <f t="shared" si="18"/>
        <v>9.8137443939371488E-2</v>
      </c>
      <c r="W71" s="85">
        <f t="shared" si="46"/>
        <v>1156059.0896057962</v>
      </c>
      <c r="X71" s="71">
        <f>VLOOKUP(B71,[10]AKSoftSalesReport!$B$2:$C$94,2,0)</f>
        <v>915327.69000000053</v>
      </c>
      <c r="Y71" s="7">
        <f t="shared" si="20"/>
        <v>0.10098925426464271</v>
      </c>
      <c r="Z71" s="85">
        <f t="shared" si="47"/>
        <v>1189653.4152374913</v>
      </c>
      <c r="AA71" s="71">
        <f>VLOOKUP(B71,[11]AKSoftSalesReport!$B$2:$C$94,2,0)</f>
        <v>862266.43000000017</v>
      </c>
      <c r="AB71" s="7">
        <f t="shared" si="22"/>
        <v>9.5134938770546434E-2</v>
      </c>
      <c r="AC71" s="85">
        <f t="shared" si="48"/>
        <v>1120689.5787170371</v>
      </c>
      <c r="AD71" s="51">
        <f>VLOOKUP(B71,[12]AKSoftSalesReport!$B$2:$C$89,2,0)</f>
        <v>843286.40000000037</v>
      </c>
      <c r="AE71" s="7">
        <f t="shared" si="24"/>
        <v>9.304084820979816E-2</v>
      </c>
      <c r="AF71" s="85">
        <f t="shared" si="49"/>
        <v>1096021.1919114224</v>
      </c>
      <c r="AG71" s="154">
        <f>VLOOKUP(B71,[13]AKSoftSalesReport!$B$2:$C$90,2,0)</f>
        <v>767127</v>
      </c>
      <c r="AH71" s="7">
        <f t="shared" si="26"/>
        <v>8.4638085903718824E-2</v>
      </c>
      <c r="AI71" s="85">
        <f t="shared" si="50"/>
        <v>997036.65194580774</v>
      </c>
      <c r="AJ71" s="104">
        <f>VLOOKUP(B71,[14]AKSoftSalesReport!$A:$D,4,0)</f>
        <v>790965.15500000003</v>
      </c>
      <c r="AK71" s="7">
        <f t="shared" si="28"/>
        <v>8.7268179500575888E-2</v>
      </c>
      <c r="AL71" s="85">
        <f t="shared" si="51"/>
        <v>1028019.154516784</v>
      </c>
      <c r="AM71" s="6">
        <f t="shared" si="52"/>
        <v>9079481.6950000096</v>
      </c>
      <c r="AN71" s="155"/>
      <c r="AO71" s="73">
        <v>9063614.7050000094</v>
      </c>
      <c r="AP71" s="87">
        <f t="shared" si="30"/>
        <v>11782699.116500013</v>
      </c>
      <c r="AQ71" s="237">
        <v>0.3</v>
      </c>
      <c r="AR71" s="3">
        <v>11780000</v>
      </c>
      <c r="AS71" s="240">
        <f t="shared" si="31"/>
        <v>11800622.361859323</v>
      </c>
      <c r="AT71" s="31">
        <f t="shared" si="36"/>
        <v>20622.361859323457</v>
      </c>
      <c r="AU71" s="28">
        <f t="shared" si="53"/>
        <v>-15866.990000000224</v>
      </c>
      <c r="AZ71" s="28">
        <v>200538</v>
      </c>
      <c r="BA71" s="28">
        <f t="shared" si="37"/>
        <v>496100.06000000006</v>
      </c>
      <c r="BB71" s="253">
        <v>240735</v>
      </c>
      <c r="BC71" s="28">
        <v>696638.06</v>
      </c>
      <c r="BD71" s="28">
        <f>VLOOKUP(B71,[20]AKSoftSalesReport!$A:$B,2,0)</f>
        <v>113412.17999999995</v>
      </c>
      <c r="BE71" s="28">
        <f t="shared" si="38"/>
        <v>651544.13000000059</v>
      </c>
      <c r="BF71" s="28">
        <f>VLOOKUP(B71,[21]AKSoftSalesReport!$A:$B,2,0)</f>
        <v>125812.84999999998</v>
      </c>
      <c r="BG71" s="28">
        <v>764956.31000000052</v>
      </c>
      <c r="BH71" s="28">
        <v>125812.84999999998</v>
      </c>
      <c r="BI71" s="28">
        <f t="shared" si="39"/>
        <v>651126.82000000344</v>
      </c>
      <c r="BJ71" s="28">
        <f>VLOOKUP(B71,[22]AKSoftSalesReport!$A:$B,2,0)</f>
        <v>129279.16999999979</v>
      </c>
      <c r="BK71" s="28">
        <v>776939.67000000342</v>
      </c>
    </row>
    <row r="72" spans="1:63" x14ac:dyDescent="0.3">
      <c r="A72" s="239">
        <v>69</v>
      </c>
      <c r="B72" s="89" t="s">
        <v>12</v>
      </c>
      <c r="C72" s="70">
        <f>VLOOKUP(B72,[3]AKSoftSalesReport!$B$2:$C$87,2,0)</f>
        <v>503711.94000000099</v>
      </c>
      <c r="D72" s="7">
        <f t="shared" si="6"/>
        <v>8.0637330459900777E-2</v>
      </c>
      <c r="E72" s="85">
        <f t="shared" si="40"/>
        <v>614456.45810444397</v>
      </c>
      <c r="F72" s="70">
        <v>392315.10000000009</v>
      </c>
      <c r="G72" s="7">
        <f t="shared" si="8"/>
        <v>6.2804233632240219E-2</v>
      </c>
      <c r="H72" s="85">
        <f t="shared" si="41"/>
        <v>478568.26027767046</v>
      </c>
      <c r="I72" s="70">
        <v>385862</v>
      </c>
      <c r="J72" s="7">
        <f t="shared" si="10"/>
        <v>6.1771181373858584E-2</v>
      </c>
      <c r="K72" s="85">
        <f t="shared" si="42"/>
        <v>470696.40206880239</v>
      </c>
      <c r="L72" s="6">
        <v>462349.68000000011</v>
      </c>
      <c r="M72" s="7">
        <f t="shared" si="12"/>
        <v>7.4015803425643067E-2</v>
      </c>
      <c r="N72" s="85">
        <f t="shared" si="43"/>
        <v>564000.42210340023</v>
      </c>
      <c r="O72" s="6">
        <v>547812.00000000163</v>
      </c>
      <c r="P72" s="7">
        <f t="shared" si="14"/>
        <v>8.7697141493011277E-2</v>
      </c>
      <c r="Q72" s="85">
        <f t="shared" si="44"/>
        <v>668252.21817674593</v>
      </c>
      <c r="R72" s="6">
        <v>559331.17000000121</v>
      </c>
      <c r="S72" s="7">
        <f t="shared" si="16"/>
        <v>8.9541201647538773E-2</v>
      </c>
      <c r="T72" s="85">
        <f t="shared" si="45"/>
        <v>682303.95655424544</v>
      </c>
      <c r="U72" s="71">
        <f>VLOOKUP(B72,[9]AKSoftSalesReport!$B$2:$C$94,2,0)</f>
        <v>620720.4700000009</v>
      </c>
      <c r="V72" s="7">
        <f t="shared" si="18"/>
        <v>9.9368781416249344E-2</v>
      </c>
      <c r="W72" s="85">
        <f t="shared" si="46"/>
        <v>757190.11439182004</v>
      </c>
      <c r="X72" s="71">
        <f>VLOOKUP(B72,[10]AKSoftSalesReport!$B$2:$C$94,2,0)</f>
        <v>617506.64000000036</v>
      </c>
      <c r="Y72" s="7">
        <f t="shared" si="20"/>
        <v>9.8854291583524739E-2</v>
      </c>
      <c r="Z72" s="85">
        <f t="shared" si="47"/>
        <v>753269.70186645852</v>
      </c>
      <c r="AA72" s="71">
        <f>VLOOKUP(B72,[11]AKSoftSalesReport!$B$2:$C$94,2,0)</f>
        <v>579494.16</v>
      </c>
      <c r="AB72" s="7">
        <f t="shared" si="22"/>
        <v>9.2769018100906098E-2</v>
      </c>
      <c r="AC72" s="85">
        <f t="shared" si="48"/>
        <v>706899.91792890441</v>
      </c>
      <c r="AD72" s="51">
        <f>VLOOKUP(B72,[12]AKSoftSalesReport!$B$2:$C$89,2,0)</f>
        <v>561558.14000000013</v>
      </c>
      <c r="AE72" s="7">
        <f t="shared" si="24"/>
        <v>8.9897708812753468E-2</v>
      </c>
      <c r="AF72" s="85">
        <f t="shared" si="49"/>
        <v>685020.54115318146</v>
      </c>
      <c r="AG72" s="154">
        <f>VLOOKUP(B72,[13]AKSoftSalesReport!$B$2:$C$90,2,0)</f>
        <v>506743</v>
      </c>
      <c r="AH72" s="7">
        <f t="shared" si="26"/>
        <v>8.1122561337818241E-2</v>
      </c>
      <c r="AI72" s="85">
        <f t="shared" si="50"/>
        <v>618153.91739417496</v>
      </c>
      <c r="AJ72" s="104">
        <f>VLOOKUP(B72,[14]AKSoftSalesReport!$A:$D,4,0)</f>
        <v>504017.92857142858</v>
      </c>
      <c r="AK72" s="7">
        <f t="shared" si="28"/>
        <v>8.0686315007599124E-2</v>
      </c>
      <c r="AL72" s="85">
        <f t="shared" si="51"/>
        <v>614829.72035790537</v>
      </c>
      <c r="AM72" s="6">
        <f t="shared" si="52"/>
        <v>6241422.2285714336</v>
      </c>
      <c r="AN72" s="155"/>
      <c r="AO72" s="73">
        <v>6246634.6185714342</v>
      </c>
      <c r="AP72" s="87">
        <f t="shared" si="30"/>
        <v>7620894.2346571498</v>
      </c>
      <c r="AQ72" s="237">
        <v>0.22</v>
      </c>
      <c r="AR72" s="3">
        <v>7620000</v>
      </c>
      <c r="AS72" s="240">
        <f t="shared" si="31"/>
        <v>7613641.6303777518</v>
      </c>
      <c r="AT72" s="31">
        <f t="shared" si="36"/>
        <v>-6358.3696222482249</v>
      </c>
      <c r="AU72" s="28">
        <f t="shared" si="53"/>
        <v>5212.390000000596</v>
      </c>
      <c r="AZ72" s="28">
        <v>157876</v>
      </c>
      <c r="BA72" s="28">
        <f t="shared" si="37"/>
        <v>304473.68000000011</v>
      </c>
      <c r="BB72" s="253">
        <v>154731.5</v>
      </c>
      <c r="BC72" s="28">
        <v>462349.68000000011</v>
      </c>
      <c r="BD72" s="28">
        <f>VLOOKUP(B72,[20]AKSoftSalesReport!$A:$B,2,0)</f>
        <v>95332.779999999941</v>
      </c>
      <c r="BE72" s="28">
        <f t="shared" si="38"/>
        <v>452479.22000000172</v>
      </c>
      <c r="BF72" s="28">
        <f>VLOOKUP(B72,[21]AKSoftSalesReport!$A:$B,2,0)</f>
        <v>90572.369999999981</v>
      </c>
      <c r="BG72" s="28">
        <v>547812.00000000163</v>
      </c>
      <c r="BH72" s="28">
        <v>90572.369999999981</v>
      </c>
      <c r="BI72" s="28">
        <f t="shared" si="39"/>
        <v>468758.80000000121</v>
      </c>
      <c r="BJ72" s="28">
        <f>VLOOKUP(B72,[22]AKSoftSalesReport!$A:$B,2,0)</f>
        <v>90120.38999999997</v>
      </c>
      <c r="BK72" s="28">
        <v>559331.17000000121</v>
      </c>
    </row>
    <row r="73" spans="1:63" x14ac:dyDescent="0.3">
      <c r="A73" s="61">
        <v>70</v>
      </c>
      <c r="B73" s="90" t="s">
        <v>146</v>
      </c>
      <c r="C73" s="70">
        <f>VLOOKUP(B73,[3]AKSoftSalesReport!$B$2:$C$87,2,0)</f>
        <v>393213.95000000059</v>
      </c>
      <c r="D73" s="7">
        <f t="shared" si="6"/>
        <v>5.7852140471890745E-2</v>
      </c>
      <c r="E73" s="85">
        <f t="shared" si="40"/>
        <v>530793.38882959762</v>
      </c>
      <c r="F73" s="70">
        <v>380607.05000000005</v>
      </c>
      <c r="G73" s="7">
        <f t="shared" si="8"/>
        <v>5.5997333057974961E-2</v>
      </c>
      <c r="H73" s="85">
        <f t="shared" si="41"/>
        <v>513775.53080692026</v>
      </c>
      <c r="I73" s="70">
        <v>363848</v>
      </c>
      <c r="J73" s="7">
        <f t="shared" si="10"/>
        <v>5.3531634893463145E-2</v>
      </c>
      <c r="K73" s="85">
        <f t="shared" si="42"/>
        <v>491152.75014752435</v>
      </c>
      <c r="L73" s="6">
        <v>472042.4800000001</v>
      </c>
      <c r="M73" s="7">
        <f t="shared" si="12"/>
        <v>6.9449895817937382E-2</v>
      </c>
      <c r="N73" s="85">
        <f t="shared" si="43"/>
        <v>637202.79412957549</v>
      </c>
      <c r="O73" s="6">
        <v>518902.47000000015</v>
      </c>
      <c r="P73" s="7">
        <f t="shared" si="14"/>
        <v>7.634423597039483E-2</v>
      </c>
      <c r="Q73" s="85">
        <f t="shared" si="44"/>
        <v>700458.36502837262</v>
      </c>
      <c r="R73" s="6">
        <v>597329.99000000127</v>
      </c>
      <c r="S73" s="7">
        <f t="shared" si="16"/>
        <v>8.7882992171445379E-2</v>
      </c>
      <c r="T73" s="85">
        <f t="shared" si="45"/>
        <v>806326.45317301131</v>
      </c>
      <c r="U73" s="71">
        <f>VLOOKUP(B73,[9]AKSoftSalesReport!$B$2:$C$94,2,0)</f>
        <v>663617.18000000075</v>
      </c>
      <c r="V73" s="7">
        <f t="shared" si="18"/>
        <v>9.7635585708289313E-2</v>
      </c>
      <c r="W73" s="85">
        <f t="shared" si="46"/>
        <v>895806.4988735544</v>
      </c>
      <c r="X73" s="71">
        <f>VLOOKUP(B73,[10]AKSoftSalesReport!$B$2:$C$94,2,0)</f>
        <v>714607.15000000014</v>
      </c>
      <c r="Y73" s="7">
        <f t="shared" si="20"/>
        <v>0.10513755481975511</v>
      </c>
      <c r="Z73" s="85">
        <f t="shared" si="47"/>
        <v>964637.06547125312</v>
      </c>
      <c r="AA73" s="71">
        <f>VLOOKUP(B73,[11]AKSoftSalesReport!$B$2:$C$94,2,0)</f>
        <v>656778.12</v>
      </c>
      <c r="AB73" s="7">
        <f t="shared" si="22"/>
        <v>9.6629379647146948E-2</v>
      </c>
      <c r="AC73" s="85">
        <f t="shared" si="48"/>
        <v>886574.55826257321</v>
      </c>
      <c r="AD73" s="51">
        <f>VLOOKUP(B73,[12]AKSoftSalesReport!$B$2:$C$89,2,0)</f>
        <v>710471.02000000095</v>
      </c>
      <c r="AE73" s="7">
        <f t="shared" si="24"/>
        <v>0.10452902103358105</v>
      </c>
      <c r="AF73" s="85">
        <f t="shared" si="49"/>
        <v>959053.7679831062</v>
      </c>
      <c r="AG73" s="154">
        <f>VLOOKUP(B73,[13]AKSoftSalesReport!$B$2:$C$90,2,0)</f>
        <v>663020</v>
      </c>
      <c r="AH73" s="7">
        <f t="shared" si="26"/>
        <v>9.7547724783601755E-2</v>
      </c>
      <c r="AI73" s="85">
        <f t="shared" si="50"/>
        <v>895000.37488954607</v>
      </c>
      <c r="AJ73" s="104">
        <f>VLOOKUP(B73,[14]AKSoftSalesReport!$A:$D,4,0)</f>
        <v>685305.92857142864</v>
      </c>
      <c r="AK73" s="7">
        <f t="shared" si="28"/>
        <v>0.10082657252097428</v>
      </c>
      <c r="AL73" s="85">
        <f t="shared" si="51"/>
        <v>925083.80287993897</v>
      </c>
      <c r="AM73" s="6">
        <f t="shared" si="52"/>
        <v>6819743.338571432</v>
      </c>
      <c r="AN73" s="155"/>
      <c r="AO73" s="73">
        <v>6796878.1585714323</v>
      </c>
      <c r="AP73" s="87">
        <f t="shared" si="30"/>
        <v>9175785.5140714329</v>
      </c>
      <c r="AQ73" s="237">
        <v>0.35</v>
      </c>
      <c r="AR73" s="3">
        <v>9175000</v>
      </c>
      <c r="AS73" s="240">
        <f t="shared" si="31"/>
        <v>9205865.3504749741</v>
      </c>
      <c r="AT73" s="31">
        <f t="shared" si="36"/>
        <v>30865.350474974141</v>
      </c>
      <c r="AU73" s="28">
        <f t="shared" si="53"/>
        <v>-22865.179999999702</v>
      </c>
      <c r="AZ73" s="28">
        <v>139234</v>
      </c>
      <c r="BA73" s="28">
        <f t="shared" si="37"/>
        <v>332808.4800000001</v>
      </c>
      <c r="BB73" s="253">
        <v>137939</v>
      </c>
      <c r="BC73" s="28">
        <v>472042.4800000001</v>
      </c>
      <c r="BD73" s="28">
        <f>VLOOKUP(B73,[20]AKSoftSalesReport!$A:$B,2,0)</f>
        <v>86621</v>
      </c>
      <c r="BE73" s="28">
        <f t="shared" si="38"/>
        <v>432281.47000000015</v>
      </c>
      <c r="BF73" s="28">
        <f>VLOOKUP(B73,[21]AKSoftSalesReport!$A:$B,2,0)</f>
        <v>88303.19</v>
      </c>
      <c r="BG73" s="28">
        <v>518902.47000000015</v>
      </c>
      <c r="BH73" s="28">
        <v>88303.19</v>
      </c>
      <c r="BI73" s="28">
        <f t="shared" si="39"/>
        <v>509026.80000000127</v>
      </c>
      <c r="BJ73" s="28">
        <f>VLOOKUP(B73,[22]AKSoftSalesReport!$A:$B,2,0)</f>
        <v>109486.17999999992</v>
      </c>
      <c r="BK73" s="28">
        <v>597329.99000000127</v>
      </c>
    </row>
    <row r="74" spans="1:63" x14ac:dyDescent="0.3">
      <c r="A74" s="239">
        <v>71</v>
      </c>
      <c r="B74" s="89" t="s">
        <v>88</v>
      </c>
      <c r="C74" s="70">
        <f>VLOOKUP(B74,[3]AKSoftSalesReport!$B$2:$C$87,2,0)</f>
        <v>2670550.9199999967</v>
      </c>
      <c r="D74" s="7">
        <f t="shared" si="6"/>
        <v>6.180512445823276E-2</v>
      </c>
      <c r="E74" s="85">
        <v>3470000</v>
      </c>
      <c r="F74" s="70">
        <v>2169047</v>
      </c>
      <c r="G74" s="7">
        <f t="shared" si="8"/>
        <v>5.0198713226841059E-2</v>
      </c>
      <c r="H74" s="85">
        <v>2800000</v>
      </c>
      <c r="I74" s="70">
        <v>2221372</v>
      </c>
      <c r="J74" s="7">
        <f t="shared" si="10"/>
        <v>5.1409681762605595E-2</v>
      </c>
      <c r="K74" s="85">
        <v>2890000</v>
      </c>
      <c r="L74" s="6">
        <v>3112689.5</v>
      </c>
      <c r="M74" s="7">
        <f t="shared" si="12"/>
        <v>7.2037631077011832E-2</v>
      </c>
      <c r="N74" s="85">
        <v>4050000</v>
      </c>
      <c r="O74" s="6">
        <v>3671876.46</v>
      </c>
      <c r="P74" s="7">
        <f t="shared" si="14"/>
        <v>8.4979013096501979E-2</v>
      </c>
      <c r="Q74" s="85">
        <v>4770000</v>
      </c>
      <c r="R74" s="6">
        <v>3914426.52</v>
      </c>
      <c r="S74" s="7">
        <f t="shared" si="16"/>
        <v>9.0592400406732276E-2</v>
      </c>
      <c r="T74" s="85">
        <v>5090000</v>
      </c>
      <c r="U74" s="71">
        <f>VLOOKUP(B74,[9]AKSoftSalesReport!$B$2:$C$94,2,0)</f>
        <v>5182397.51</v>
      </c>
      <c r="V74" s="7">
        <f t="shared" si="18"/>
        <v>0.11993732105942617</v>
      </c>
      <c r="W74" s="85">
        <v>6730000</v>
      </c>
      <c r="X74" s="71">
        <f>VLOOKUP(B74,[10]AKSoftSalesReport!$B$2:$C$94,2,0)</f>
        <v>5710571.5999997389</v>
      </c>
      <c r="Y74" s="7">
        <f t="shared" si="20"/>
        <v>0.13216096567281843</v>
      </c>
      <c r="Z74" s="85">
        <v>7420000</v>
      </c>
      <c r="AA74" s="71">
        <f>VLOOKUP(B74,[11]AKSoftSalesReport!$B$2:$C$94,2,0)</f>
        <v>4405392</v>
      </c>
      <c r="AB74" s="7">
        <f t="shared" si="22"/>
        <v>0.10195491829352697</v>
      </c>
      <c r="AC74" s="85">
        <v>5730000</v>
      </c>
      <c r="AD74" s="51">
        <f>VLOOKUP(B74,[12]AKSoftSalesReport!$B$2:$C$89,2,0)</f>
        <v>3416644.4599999925</v>
      </c>
      <c r="AE74" s="7">
        <f t="shared" si="24"/>
        <v>7.9072124968068855E-2</v>
      </c>
      <c r="AF74" s="85">
        <v>4440000</v>
      </c>
      <c r="AG74" s="154">
        <f>VLOOKUP(B74,[13]AKSoftSalesReport!$B$2:$C$90,2,0)</f>
        <v>3292403</v>
      </c>
      <c r="AH74" s="7">
        <f t="shared" si="26"/>
        <v>7.6196778596402559E-2</v>
      </c>
      <c r="AI74" s="85">
        <v>4280000</v>
      </c>
      <c r="AJ74" s="104">
        <f>VLOOKUP(B74,[14]AKSoftSalesReport!$A:$D,4,0)</f>
        <v>3469408.1785714286</v>
      </c>
      <c r="AK74" s="7">
        <f t="shared" si="28"/>
        <v>8.029324686047104E-2</v>
      </c>
      <c r="AL74" s="85">
        <v>4500000</v>
      </c>
      <c r="AM74" s="6">
        <f t="shared" si="52"/>
        <v>43236779.148571156</v>
      </c>
      <c r="AN74" s="155"/>
      <c r="AO74" s="73">
        <v>43209215.148571156</v>
      </c>
      <c r="AP74" s="87">
        <f t="shared" si="30"/>
        <v>56171979.693142503</v>
      </c>
      <c r="AQ74" s="251">
        <v>0.3</v>
      </c>
      <c r="AR74" s="1">
        <v>56170000</v>
      </c>
      <c r="AS74" s="240">
        <f t="shared" si="31"/>
        <v>56170000</v>
      </c>
      <c r="AT74" s="31">
        <f t="shared" si="36"/>
        <v>0</v>
      </c>
      <c r="AU74" s="28">
        <f t="shared" si="53"/>
        <v>-27564</v>
      </c>
      <c r="AV74" s="79">
        <f>AP74-AR74</f>
        <v>1979.6931425035</v>
      </c>
      <c r="AZ74" s="28">
        <v>1079973</v>
      </c>
      <c r="BA74" s="28">
        <f t="shared" si="37"/>
        <v>2032716.5</v>
      </c>
      <c r="BB74" s="253">
        <v>1000725.5</v>
      </c>
      <c r="BC74" s="28">
        <v>3112689.5</v>
      </c>
      <c r="BD74" s="28">
        <f>VLOOKUP(B74,[20]AKSoftSalesReport!$A:$B,2,0)</f>
        <v>571004</v>
      </c>
      <c r="BE74" s="28">
        <f t="shared" si="38"/>
        <v>3100872.46</v>
      </c>
      <c r="BF74" s="28">
        <f>VLOOKUP(B74,[21]AKSoftSalesReport!$A:$B,2,0)</f>
        <v>772709.35</v>
      </c>
      <c r="BG74" s="28">
        <v>3671876.46</v>
      </c>
      <c r="BH74" s="28">
        <v>772709.35</v>
      </c>
      <c r="BI74" s="28">
        <f t="shared" si="39"/>
        <v>3141717.17</v>
      </c>
      <c r="BJ74" s="28">
        <f>VLOOKUP(B74,[22]AKSoftSalesReport!$A:$B,2,0)</f>
        <v>598568</v>
      </c>
      <c r="BK74" s="28">
        <v>3914426.52</v>
      </c>
    </row>
    <row r="75" spans="1:63" x14ac:dyDescent="0.3">
      <c r="A75" s="61">
        <v>72</v>
      </c>
      <c r="B75" s="90" t="s">
        <v>94</v>
      </c>
      <c r="C75" s="70">
        <f>VLOOKUP(B75,[3]AKSoftSalesReport!$B$2:$C$87,2,0)</f>
        <v>1679389.5</v>
      </c>
      <c r="D75" s="7">
        <f t="shared" ref="D75:D93" si="54">C75/AO75</f>
        <v>6.6860930622768822E-2</v>
      </c>
      <c r="E75" s="85">
        <f t="shared" si="40"/>
        <v>2266585.548111863</v>
      </c>
      <c r="F75" s="70">
        <v>1385066</v>
      </c>
      <c r="G75" s="7">
        <f t="shared" ref="G75:G93" si="55">F75/AO75</f>
        <v>5.5143134891551919E-2</v>
      </c>
      <c r="H75" s="85">
        <f t="shared" si="41"/>
        <v>1869352.2728236101</v>
      </c>
      <c r="I75" s="70">
        <v>1407949</v>
      </c>
      <c r="J75" s="7">
        <f t="shared" ref="J75:J93" si="56">I75/AO75</f>
        <v>5.6054167546835766E-2</v>
      </c>
      <c r="K75" s="85">
        <f t="shared" si="42"/>
        <v>1900236.2798377324</v>
      </c>
      <c r="L75" s="6">
        <v>1874457.5</v>
      </c>
      <c r="M75" s="7">
        <f t="shared" ref="M75:M93" si="57">L75/AO75</f>
        <v>7.4627102803029727E-2</v>
      </c>
      <c r="N75" s="85">
        <f t="shared" si="43"/>
        <v>2529858.7850227077</v>
      </c>
      <c r="O75" s="6">
        <v>2214211</v>
      </c>
      <c r="P75" s="7">
        <f t="shared" ref="P75:P93" si="58">O75/AO75</f>
        <v>8.8153586797566366E-2</v>
      </c>
      <c r="Q75" s="85">
        <f t="shared" si="44"/>
        <v>2988406.5924374997</v>
      </c>
      <c r="R75" s="6">
        <v>2265953</v>
      </c>
      <c r="S75" s="7">
        <f t="shared" ref="S75:S93" si="59">R75/AO75</f>
        <v>9.0213572448473028E-2</v>
      </c>
      <c r="T75" s="85">
        <f t="shared" si="45"/>
        <v>3058240.1060032356</v>
      </c>
      <c r="U75" s="71">
        <f>VLOOKUP(B75,[9]AKSoftSalesReport!$B$2:$C$94,2,0)</f>
        <v>2774133</v>
      </c>
      <c r="V75" s="7">
        <f t="shared" ref="V75:V93" si="60">U75/AO75</f>
        <v>0.11044556015822032</v>
      </c>
      <c r="W75" s="85">
        <f t="shared" si="46"/>
        <v>3744104.489363669</v>
      </c>
      <c r="X75" s="71">
        <f>VLOOKUP(B75,[10]AKSoftSalesReport!$B$2:$C$94,2,0)</f>
        <v>2817359.2199999983</v>
      </c>
      <c r="Y75" s="7">
        <f t="shared" ref="Y75:Y93" si="61">X75/AO75</f>
        <v>0.11216651012039672</v>
      </c>
      <c r="Z75" s="85">
        <f t="shared" si="47"/>
        <v>3802444.6930814488</v>
      </c>
      <c r="AA75" s="71">
        <f>VLOOKUP(B75,[11]AKSoftSalesReport!$B$2:$C$94,2,0)</f>
        <v>2504308.56</v>
      </c>
      <c r="AB75" s="7">
        <f t="shared" ref="AB75:AB93" si="62">AA75/AO75</f>
        <v>9.9703136698285955E-2</v>
      </c>
      <c r="AC75" s="85">
        <f t="shared" si="48"/>
        <v>3379936.3340718937</v>
      </c>
      <c r="AD75" s="51">
        <f>VLOOKUP(B75,[12]AKSoftSalesReport!$B$2:$C$89,2,0)</f>
        <v>2314816.2000000002</v>
      </c>
      <c r="AE75" s="7">
        <f t="shared" ref="AE75:AE93" si="63">AD75/AO75</f>
        <v>9.2158945469565809E-2</v>
      </c>
      <c r="AF75" s="85">
        <f t="shared" si="49"/>
        <v>3124188.2514182809</v>
      </c>
      <c r="AG75" s="154">
        <f>VLOOKUP(B75,[13]AKSoftSalesReport!$B$2:$C$90,2,0)</f>
        <v>1985393</v>
      </c>
      <c r="AH75" s="7">
        <f t="shared" ref="AH75:AH93" si="64">AG75/AO75</f>
        <v>7.9043737996415286E-2</v>
      </c>
      <c r="AI75" s="85">
        <f t="shared" si="50"/>
        <v>2679582.7180784782</v>
      </c>
      <c r="AJ75" s="104">
        <f>VLOOKUP(B75,[14]AKSoftSalesReport!$A:$D,4,0)</f>
        <v>1922284.7571428569</v>
      </c>
      <c r="AK75" s="7">
        <f t="shared" ref="AK75:AK93" si="65">AJ75/AO75</f>
        <v>7.6531232203449276E-2</v>
      </c>
      <c r="AL75" s="85">
        <f t="shared" si="51"/>
        <v>2594408.7716969303</v>
      </c>
      <c r="AM75" s="6">
        <f t="shared" si="52"/>
        <v>25145320.737142853</v>
      </c>
      <c r="AN75" s="155"/>
      <c r="AO75" s="73">
        <v>25117650.687142853</v>
      </c>
      <c r="AP75" s="87">
        <f t="shared" ref="AP75:AP93" si="66">(AO75*AQ75)+AO75</f>
        <v>33908828.427642852</v>
      </c>
      <c r="AQ75" s="237">
        <v>0.35</v>
      </c>
      <c r="AR75" s="1">
        <v>33900000</v>
      </c>
      <c r="AS75" s="240">
        <f t="shared" si="31"/>
        <v>33937344.841947354</v>
      </c>
      <c r="AT75" s="31">
        <f t="shared" si="36"/>
        <v>37344.841947354376</v>
      </c>
      <c r="AU75" s="28">
        <f t="shared" si="53"/>
        <v>-27670.050000000745</v>
      </c>
      <c r="AZ75" s="28">
        <v>624616</v>
      </c>
      <c r="BA75" s="28">
        <f t="shared" si="37"/>
        <v>1249841.5</v>
      </c>
      <c r="BB75" s="253">
        <v>632266.5</v>
      </c>
      <c r="BC75" s="28">
        <v>1874457.5</v>
      </c>
      <c r="BD75" s="28">
        <f>VLOOKUP(B75,[20]AKSoftSalesReport!$A:$B,2,0)</f>
        <v>313665.95</v>
      </c>
      <c r="BE75" s="28">
        <f t="shared" si="38"/>
        <v>1900545.05</v>
      </c>
      <c r="BF75" s="28">
        <f>VLOOKUP(B75,[21]AKSoftSalesReport!$A:$B,2,0)</f>
        <v>548453</v>
      </c>
      <c r="BG75" s="28">
        <v>2214211</v>
      </c>
      <c r="BH75" s="28">
        <v>548453</v>
      </c>
      <c r="BI75" s="28">
        <f t="shared" si="39"/>
        <v>1717500</v>
      </c>
      <c r="BJ75" s="28">
        <f>VLOOKUP(B75,[22]AKSoftSalesReport!$A:$B,2,0)</f>
        <v>341336</v>
      </c>
      <c r="BK75" s="28">
        <v>2265953</v>
      </c>
    </row>
    <row r="76" spans="1:63" x14ac:dyDescent="0.3">
      <c r="A76" s="239">
        <v>73</v>
      </c>
      <c r="B76" s="89" t="s">
        <v>101</v>
      </c>
      <c r="C76" s="70">
        <f>VLOOKUP(B76,[3]AKSoftSalesReport!$B$2:$C$87,2,0)</f>
        <v>1564246.7900000031</v>
      </c>
      <c r="D76" s="7">
        <f t="shared" si="54"/>
        <v>6.2627807831702159E-2</v>
      </c>
      <c r="E76" s="85">
        <f t="shared" si="40"/>
        <v>2111809.6800849969</v>
      </c>
      <c r="F76" s="70">
        <v>1158671.5</v>
      </c>
      <c r="G76" s="7">
        <f t="shared" si="55"/>
        <v>4.6389774622500553E-2</v>
      </c>
      <c r="H76" s="85">
        <f t="shared" si="41"/>
        <v>1564263.2002707187</v>
      </c>
      <c r="I76" s="70">
        <v>1399273</v>
      </c>
      <c r="J76" s="7">
        <f t="shared" si="56"/>
        <v>5.6022745968421779E-2</v>
      </c>
      <c r="K76" s="85">
        <f t="shared" si="42"/>
        <v>1889086.9940551824</v>
      </c>
      <c r="L76" s="6">
        <v>1657704</v>
      </c>
      <c r="M76" s="7">
        <f t="shared" si="57"/>
        <v>6.6369557679478317E-2</v>
      </c>
      <c r="N76" s="85">
        <f t="shared" si="43"/>
        <v>2237981.4849520088</v>
      </c>
      <c r="O76" s="6">
        <v>2044069.62</v>
      </c>
      <c r="P76" s="7">
        <f t="shared" si="58"/>
        <v>8.1838492605108823E-2</v>
      </c>
      <c r="Q76" s="85">
        <f t="shared" si="44"/>
        <v>2759593.9706442696</v>
      </c>
      <c r="R76" s="6">
        <v>2134227.2400000002</v>
      </c>
      <c r="S76" s="7">
        <f t="shared" si="59"/>
        <v>8.544813664338978E-2</v>
      </c>
      <c r="T76" s="85">
        <f t="shared" si="45"/>
        <v>2881311.1676151035</v>
      </c>
      <c r="U76" s="71">
        <f>VLOOKUP(B76,[9]AKSoftSalesReport!$B$2:$C$94,2,0)</f>
        <v>2699812.98</v>
      </c>
      <c r="V76" s="7">
        <f t="shared" si="60"/>
        <v>0.10809251428476629</v>
      </c>
      <c r="W76" s="85">
        <f t="shared" si="46"/>
        <v>3644879.5816823193</v>
      </c>
      <c r="X76" s="71">
        <f>VLOOKUP(B76,[10]AKSoftSalesReport!$B$2:$C$94,2,0)</f>
        <v>3002854.3699999964</v>
      </c>
      <c r="Y76" s="7">
        <f t="shared" si="61"/>
        <v>0.12022539386572528</v>
      </c>
      <c r="Z76" s="85">
        <f t="shared" si="47"/>
        <v>4054000.2811522568</v>
      </c>
      <c r="AA76" s="71">
        <f>VLOOKUP(B76,[11]AKSoftSalesReport!$B$2:$C$94,2,0)</f>
        <v>2694575</v>
      </c>
      <c r="AB76" s="7">
        <f t="shared" si="62"/>
        <v>0.1078828010816046</v>
      </c>
      <c r="AC76" s="85">
        <f t="shared" si="48"/>
        <v>3637808.0524717071</v>
      </c>
      <c r="AD76" s="51">
        <f>VLOOKUP(B76,[12]AKSoftSalesReport!$B$2:$C$89,2,0)</f>
        <v>2257677.2000000002</v>
      </c>
      <c r="AE76" s="7">
        <f t="shared" si="63"/>
        <v>9.039070735610405E-2</v>
      </c>
      <c r="AF76" s="85">
        <f t="shared" si="49"/>
        <v>3047974.6520478288</v>
      </c>
      <c r="AG76" s="154">
        <f>VLOOKUP(B76,[13]AKSoftSalesReport!$B$2:$C$90,2,0)</f>
        <v>2181977</v>
      </c>
      <c r="AH76" s="7">
        <f t="shared" si="64"/>
        <v>8.7359895588594264E-2</v>
      </c>
      <c r="AI76" s="85">
        <f t="shared" si="50"/>
        <v>2945775.6792473984</v>
      </c>
      <c r="AJ76" s="104">
        <f>VLOOKUP(B76,[14]AKSoftSalesReport!$A:$D,4,0)</f>
        <v>2189322.1007142863</v>
      </c>
      <c r="AK76" s="7">
        <f t="shared" si="65"/>
        <v>8.7653971663405203E-2</v>
      </c>
      <c r="AL76" s="85">
        <f t="shared" si="51"/>
        <v>2955691.9244900234</v>
      </c>
      <c r="AM76" s="6">
        <f t="shared" si="52"/>
        <v>24984410.800714292</v>
      </c>
      <c r="AN76" s="155"/>
      <c r="AO76" s="73">
        <v>24976872.800714288</v>
      </c>
      <c r="AP76" s="87">
        <f t="shared" si="66"/>
        <v>33718778.280964285</v>
      </c>
      <c r="AQ76" s="237">
        <v>0.35</v>
      </c>
      <c r="AR76" s="1">
        <v>33720000</v>
      </c>
      <c r="AS76" s="240">
        <f t="shared" ref="AS76:AS93" si="67">E76+H76+K76+N76+Q76+T76+W76+Z76+AC76+AF76+AI76+AL76</f>
        <v>33730176.668713816</v>
      </c>
      <c r="AT76" s="31">
        <f t="shared" si="36"/>
        <v>10176.66871381551</v>
      </c>
      <c r="AU76" s="28">
        <f t="shared" si="53"/>
        <v>-7538.0000000037253</v>
      </c>
      <c r="AZ76" s="28">
        <v>638905</v>
      </c>
      <c r="BA76" s="28">
        <f t="shared" si="37"/>
        <v>1018799</v>
      </c>
      <c r="BB76" s="253">
        <v>492850</v>
      </c>
      <c r="BC76" s="28">
        <v>1657704</v>
      </c>
      <c r="BD76" s="28">
        <f>VLOOKUP(B76,[20]AKSoftSalesReport!$A:$B,2,0)</f>
        <v>327444</v>
      </c>
      <c r="BE76" s="28">
        <f t="shared" si="38"/>
        <v>1716625.62</v>
      </c>
      <c r="BF76" s="28">
        <f>VLOOKUP(B76,[21]AKSoftSalesReport!$A:$B,2,0)</f>
        <v>487949.32</v>
      </c>
      <c r="BG76" s="28">
        <v>2044069.62</v>
      </c>
      <c r="BH76" s="28">
        <v>487949.32</v>
      </c>
      <c r="BI76" s="28">
        <f t="shared" si="39"/>
        <v>1646277.9200000002</v>
      </c>
      <c r="BJ76" s="28">
        <f>VLOOKUP(B76,[22]AKSoftSalesReport!$A:$B,2,0)</f>
        <v>334982</v>
      </c>
      <c r="BK76" s="28">
        <v>2134227.2400000002</v>
      </c>
    </row>
    <row r="77" spans="1:63" x14ac:dyDescent="0.3">
      <c r="A77" s="61">
        <v>74</v>
      </c>
      <c r="B77" s="90" t="s">
        <v>139</v>
      </c>
      <c r="C77" s="70">
        <f>VLOOKUP(B77,[3]AKSoftSalesReport!$B$2:$C$87,2,0)</f>
        <v>1570857.7700000009</v>
      </c>
      <c r="D77" s="7">
        <f t="shared" si="54"/>
        <v>6.7265839208663553E-2</v>
      </c>
      <c r="E77" s="85">
        <f t="shared" si="40"/>
        <v>2120555.5810531187</v>
      </c>
      <c r="F77" s="70">
        <v>1172077.02</v>
      </c>
      <c r="G77" s="7">
        <f t="shared" si="55"/>
        <v>5.0189613517644879E-2</v>
      </c>
      <c r="H77" s="85">
        <f t="shared" si="41"/>
        <v>1582227.5661437549</v>
      </c>
      <c r="I77" s="70">
        <v>1225562</v>
      </c>
      <c r="J77" s="7">
        <f t="shared" si="56"/>
        <v>5.2479898566658953E-2</v>
      </c>
      <c r="K77" s="85">
        <f t="shared" si="42"/>
        <v>1654428.8023139236</v>
      </c>
      <c r="L77" s="6">
        <v>1566006.2000000002</v>
      </c>
      <c r="M77" s="7">
        <f t="shared" si="57"/>
        <v>6.7058089701507589E-2</v>
      </c>
      <c r="N77" s="85">
        <f t="shared" si="43"/>
        <v>2114006.2778400267</v>
      </c>
      <c r="O77" s="6">
        <v>1765538.7600000002</v>
      </c>
      <c r="P77" s="7">
        <f t="shared" si="58"/>
        <v>7.5602291063450761E-2</v>
      </c>
      <c r="Q77" s="85">
        <f t="shared" si="44"/>
        <v>2383362.2257752852</v>
      </c>
      <c r="R77" s="6">
        <v>1912678.4700000011</v>
      </c>
      <c r="S77" s="7">
        <f t="shared" si="59"/>
        <v>8.1902973571498214E-2</v>
      </c>
      <c r="T77" s="85">
        <f t="shared" si="45"/>
        <v>2581991.2418414811</v>
      </c>
      <c r="U77" s="71">
        <f>VLOOKUP(B77,[9]AKSoftSalesReport!$B$2:$C$94,2,0)</f>
        <v>2663366.1599999997</v>
      </c>
      <c r="V77" s="7">
        <f t="shared" si="60"/>
        <v>0.11404823739857464</v>
      </c>
      <c r="W77" s="85">
        <f t="shared" si="46"/>
        <v>3595370.6839900655</v>
      </c>
      <c r="X77" s="71">
        <f>VLOOKUP(B77,[10]AKSoftSalesReport!$B$2:$C$94,2,0)</f>
        <v>2822331.3600000022</v>
      </c>
      <c r="Y77" s="7">
        <f t="shared" si="61"/>
        <v>0.12085530025759671</v>
      </c>
      <c r="Z77" s="85">
        <f t="shared" si="47"/>
        <v>3809963.3406207361</v>
      </c>
      <c r="AA77" s="71">
        <f>VLOOKUP(B77,[11]AKSoftSalesReport!$B$2:$C$94,2,0)</f>
        <v>2322683.46</v>
      </c>
      <c r="AB77" s="7">
        <f t="shared" si="62"/>
        <v>9.9459833434176692E-2</v>
      </c>
      <c r="AC77" s="85">
        <f t="shared" si="48"/>
        <v>3135471.2490124204</v>
      </c>
      <c r="AD77" s="51">
        <f>VLOOKUP(B77,[12]AKSoftSalesReport!$B$2:$C$89,2,0)</f>
        <v>2366166.6</v>
      </c>
      <c r="AE77" s="7">
        <f t="shared" si="63"/>
        <v>0.10132182880981647</v>
      </c>
      <c r="AF77" s="85">
        <f t="shared" si="49"/>
        <v>3194170.6532294643</v>
      </c>
      <c r="AG77" s="154">
        <f>VLOOKUP(B77,[13]AKSoftSalesReport!$B$2:$C$90,2,0)</f>
        <v>1994632</v>
      </c>
      <c r="AH77" s="7">
        <f t="shared" si="64"/>
        <v>8.5412312912616487E-2</v>
      </c>
      <c r="AI77" s="85">
        <f t="shared" si="50"/>
        <v>2692623.1645702347</v>
      </c>
      <c r="AJ77" s="104">
        <f>VLOOKUP(B77,[14]AKSoftSalesReport!$A:$D,4,0)</f>
        <v>1988664.2378571434</v>
      </c>
      <c r="AK77" s="7">
        <f t="shared" si="65"/>
        <v>8.5156766843199297E-2</v>
      </c>
      <c r="AL77" s="85">
        <f t="shared" si="51"/>
        <v>2684567.074731858</v>
      </c>
      <c r="AM77" s="6">
        <f t="shared" si="52"/>
        <v>23370564.037857145</v>
      </c>
      <c r="AN77" s="155"/>
      <c r="AO77" s="104">
        <v>23352979.587857146</v>
      </c>
      <c r="AP77" s="87">
        <f t="shared" si="66"/>
        <v>31526522.443607144</v>
      </c>
      <c r="AQ77" s="237">
        <v>0.35</v>
      </c>
      <c r="AR77" s="1">
        <v>31525000</v>
      </c>
      <c r="AS77" s="240">
        <f t="shared" si="67"/>
        <v>31548737.86112237</v>
      </c>
      <c r="AT77" s="31">
        <f t="shared" si="36"/>
        <v>23737.861122369766</v>
      </c>
      <c r="AU77" s="28">
        <f t="shared" si="53"/>
        <v>-17584.449999999255</v>
      </c>
      <c r="AZ77" s="28">
        <v>678844</v>
      </c>
      <c r="BA77" s="28">
        <f t="shared" si="37"/>
        <v>887162.20000000019</v>
      </c>
      <c r="BB77" s="253">
        <v>538581</v>
      </c>
      <c r="BC77" s="28">
        <v>1566006.2000000002</v>
      </c>
      <c r="BD77" s="28">
        <f>VLOOKUP(B77,[20]AKSoftSalesReport!$A:$B,2,0)</f>
        <v>279113.17000000004</v>
      </c>
      <c r="BE77" s="28">
        <f t="shared" si="38"/>
        <v>1486425.5900000003</v>
      </c>
      <c r="BF77" s="28">
        <f>VLOOKUP(B77,[21]AKSoftSalesReport!$A:$B,2,0)</f>
        <v>394348.58000000007</v>
      </c>
      <c r="BG77" s="28">
        <v>1765538.7600000002</v>
      </c>
      <c r="BH77" s="28">
        <v>394348.58000000007</v>
      </c>
      <c r="BI77" s="28">
        <f t="shared" si="39"/>
        <v>1518329.8900000011</v>
      </c>
      <c r="BJ77" s="28">
        <f>VLOOKUP(B77,[22]AKSoftSalesReport!$A:$B,2,0)</f>
        <v>296697.62000000005</v>
      </c>
      <c r="BK77" s="28">
        <v>1912678.4700000011</v>
      </c>
    </row>
    <row r="78" spans="1:63" x14ac:dyDescent="0.3">
      <c r="A78" s="239">
        <v>75</v>
      </c>
      <c r="B78" s="102" t="s">
        <v>228</v>
      </c>
      <c r="C78" s="70">
        <f>VLOOKUP(B78,[3]AKSoftSalesReport!$B$2:$C$87,2,0)</f>
        <v>228812.5</v>
      </c>
      <c r="D78" s="7">
        <f t="shared" si="54"/>
        <v>2.4178875525764199E-2</v>
      </c>
      <c r="E78" s="85">
        <f t="shared" si="40"/>
        <v>308522.45170875115</v>
      </c>
      <c r="F78" s="70">
        <v>460078</v>
      </c>
      <c r="G78" s="7">
        <f t="shared" si="55"/>
        <v>4.861696233441154E-2</v>
      </c>
      <c r="H78" s="85">
        <f t="shared" si="41"/>
        <v>620352.4393870912</v>
      </c>
      <c r="I78" s="70">
        <v>480364</v>
      </c>
      <c r="J78" s="7">
        <f t="shared" si="56"/>
        <v>5.0760606885804721E-2</v>
      </c>
      <c r="K78" s="85">
        <f t="shared" si="42"/>
        <v>647705.34386286826</v>
      </c>
      <c r="L78" s="6">
        <v>618047.09</v>
      </c>
      <c r="M78" s="7">
        <f t="shared" si="57"/>
        <v>6.5309734643740097E-2</v>
      </c>
      <c r="N78" s="85">
        <f t="shared" si="43"/>
        <v>833352.21405412361</v>
      </c>
      <c r="O78" s="6">
        <v>623244.68999999994</v>
      </c>
      <c r="P78" s="7">
        <f t="shared" si="58"/>
        <v>6.585897091113245E-2</v>
      </c>
      <c r="Q78" s="85">
        <f t="shared" si="44"/>
        <v>840360.46882605006</v>
      </c>
      <c r="R78" s="6">
        <v>643097.66999999993</v>
      </c>
      <c r="S78" s="7">
        <f t="shared" si="59"/>
        <v>6.7956857749637709E-2</v>
      </c>
      <c r="T78" s="85">
        <f t="shared" si="45"/>
        <v>867129.50488537713</v>
      </c>
      <c r="U78" s="71">
        <f>VLOOKUP(B78,[9]AKSoftSalesReport!$B$2:$C$94,2,0)</f>
        <v>744312</v>
      </c>
      <c r="V78" s="7">
        <f t="shared" si="60"/>
        <v>7.8652290413909212E-2</v>
      </c>
      <c r="W78" s="85">
        <f t="shared" si="46"/>
        <v>1003603.2256814815</v>
      </c>
      <c r="X78" s="71">
        <f>VLOOKUP(B78,[10]AKSoftSalesReport!$B$2:$C$94,2,0)</f>
        <v>907617.84000000102</v>
      </c>
      <c r="Y78" s="7">
        <f t="shared" si="61"/>
        <v>9.5909003128426068E-2</v>
      </c>
      <c r="Z78" s="85">
        <f t="shared" si="47"/>
        <v>1223798.8799187166</v>
      </c>
      <c r="AA78" s="71">
        <f>VLOOKUP(B78,[11]AKSoftSalesReport!$B$2:$C$94,2,0)</f>
        <v>1026740.25</v>
      </c>
      <c r="AB78" s="7">
        <f t="shared" si="62"/>
        <v>0.10849680284967829</v>
      </c>
      <c r="AC78" s="85">
        <f t="shared" si="48"/>
        <v>1384419.2043618949</v>
      </c>
      <c r="AD78" s="51">
        <f>VLOOKUP(B78,[12]AKSoftSalesReport!$B$2:$C$89,2,0)</f>
        <v>1066403.45</v>
      </c>
      <c r="AE78" s="7">
        <f t="shared" si="63"/>
        <v>0.1126880580291527</v>
      </c>
      <c r="AF78" s="85">
        <f t="shared" si="49"/>
        <v>1437899.6204519884</v>
      </c>
      <c r="AG78" s="154">
        <f>VLOOKUP(B78,[13]AKSoftSalesReport!$B$2:$C$90,2,0)</f>
        <v>1124351</v>
      </c>
      <c r="AH78" s="7">
        <f t="shared" si="64"/>
        <v>0.1188114411418454</v>
      </c>
      <c r="AI78" s="85">
        <f t="shared" si="50"/>
        <v>1516033.9889699472</v>
      </c>
      <c r="AJ78" s="104">
        <f>VLOOKUP(B78,[14]AKSoftSalesReport!$A:$D,4,0)</f>
        <v>1223437.1428571427</v>
      </c>
      <c r="AK78" s="7">
        <f t="shared" si="65"/>
        <v>0.12928198586501805</v>
      </c>
      <c r="AL78" s="85">
        <f t="shared" si="51"/>
        <v>1649638.1396376302</v>
      </c>
      <c r="AM78" s="6">
        <f t="shared" si="52"/>
        <v>9146505.6328571439</v>
      </c>
      <c r="AN78" s="155"/>
      <c r="AO78" s="101">
        <f>AM78+316817</f>
        <v>9463322.6328571439</v>
      </c>
      <c r="AP78" s="87">
        <f t="shared" si="66"/>
        <v>12775485.554357145</v>
      </c>
      <c r="AQ78" s="237">
        <v>0.35</v>
      </c>
      <c r="AR78" s="1">
        <v>12760000</v>
      </c>
      <c r="AS78" s="240">
        <f t="shared" si="67"/>
        <v>12332815.481745921</v>
      </c>
      <c r="AT78" s="31">
        <f t="shared" si="36"/>
        <v>-427184.51825407892</v>
      </c>
      <c r="AU78" s="28">
        <f t="shared" si="53"/>
        <v>316817</v>
      </c>
      <c r="AZ78" s="28">
        <v>237243</v>
      </c>
      <c r="BA78" s="28">
        <f t="shared" si="37"/>
        <v>380804.08999999997</v>
      </c>
      <c r="BB78" s="253">
        <v>214293</v>
      </c>
      <c r="BC78" s="28">
        <v>618047.09</v>
      </c>
      <c r="BD78" s="28">
        <f>VLOOKUP(B78,[20]AKSoftSalesReport!$A:$B,2,0)</f>
        <v>96176.05</v>
      </c>
      <c r="BE78" s="28">
        <f t="shared" si="38"/>
        <v>527068.6399999999</v>
      </c>
      <c r="BF78" s="28">
        <f>VLOOKUP(B78,[21]AKSoftSalesReport!$A:$B,2,0)</f>
        <v>110778.28</v>
      </c>
      <c r="BG78" s="28">
        <v>623244.68999999994</v>
      </c>
      <c r="BH78" s="28">
        <v>110778.28</v>
      </c>
      <c r="BI78" s="28">
        <f t="shared" si="39"/>
        <v>532319.3899999999</v>
      </c>
      <c r="BJ78" s="28">
        <f>VLOOKUP(B78,[22]AKSoftSalesReport!$A:$B,2,0)</f>
        <v>107604</v>
      </c>
      <c r="BK78" s="28">
        <v>643097.66999999993</v>
      </c>
    </row>
    <row r="79" spans="1:63" x14ac:dyDescent="0.3">
      <c r="A79" s="61">
        <v>76</v>
      </c>
      <c r="B79" s="90" t="s">
        <v>117</v>
      </c>
      <c r="C79" s="70">
        <f>VLOOKUP(B79,[3]AKSoftSalesReport!$B$2:$C$87,2,0)</f>
        <v>979577</v>
      </c>
      <c r="D79" s="7">
        <f t="shared" si="54"/>
        <v>3.0221658904830452E-2</v>
      </c>
      <c r="E79" s="85">
        <f t="shared" si="40"/>
        <v>1273389.5979550311</v>
      </c>
      <c r="F79" s="70">
        <v>861909</v>
      </c>
      <c r="G79" s="7">
        <f t="shared" si="55"/>
        <v>2.6591395883124563E-2</v>
      </c>
      <c r="H79" s="85">
        <f t="shared" si="41"/>
        <v>1120428.4655354535</v>
      </c>
      <c r="I79" s="70">
        <v>1024810.5800000001</v>
      </c>
      <c r="J79" s="7">
        <f t="shared" si="56"/>
        <v>3.1617193738543742E-2</v>
      </c>
      <c r="K79" s="85">
        <f t="shared" si="42"/>
        <v>1332190.4581735407</v>
      </c>
      <c r="L79" s="6">
        <v>1450474.5</v>
      </c>
      <c r="M79" s="7">
        <f t="shared" si="57"/>
        <v>4.474966805994271E-2</v>
      </c>
      <c r="N79" s="85">
        <f t="shared" si="43"/>
        <v>1885527.263705686</v>
      </c>
      <c r="O79" s="6">
        <v>2273598.06</v>
      </c>
      <c r="P79" s="7">
        <f t="shared" si="58"/>
        <v>7.0144465474387657E-2</v>
      </c>
      <c r="Q79" s="85">
        <f t="shared" si="44"/>
        <v>2955537.0527633238</v>
      </c>
      <c r="R79" s="6">
        <v>3885982.58</v>
      </c>
      <c r="S79" s="7">
        <f t="shared" si="59"/>
        <v>0.11988934003439548</v>
      </c>
      <c r="T79" s="85">
        <f t="shared" si="45"/>
        <v>5051537.3423492536</v>
      </c>
      <c r="U79" s="71">
        <f>VLOOKUP(B79,[9]AKSoftSalesReport!$B$2:$C$94,2,0)</f>
        <v>6508546</v>
      </c>
      <c r="V79" s="7">
        <f t="shared" si="60"/>
        <v>0.20079999548621355</v>
      </c>
      <c r="W79" s="85">
        <f t="shared" si="46"/>
        <v>8460707.8098116089</v>
      </c>
      <c r="X79" s="71">
        <f>VLOOKUP(B79,[10]AKSoftSalesReport!$B$2:$C$94,2,0)</f>
        <v>7971492.2299999958</v>
      </c>
      <c r="Y79" s="7">
        <f t="shared" si="61"/>
        <v>0.24593443816827684</v>
      </c>
      <c r="Z79" s="85">
        <f t="shared" si="47"/>
        <v>10362447.552220345</v>
      </c>
      <c r="AA79" s="71">
        <f>VLOOKUP(B79,[11]AKSoftSalesReport!$B$2:$C$94,2,0)</f>
        <v>3603128</v>
      </c>
      <c r="AB79" s="7">
        <f t="shared" si="62"/>
        <v>0.11116278292206119</v>
      </c>
      <c r="AC79" s="85">
        <f t="shared" si="48"/>
        <v>4683843.8584210481</v>
      </c>
      <c r="AD79" s="51">
        <f>VLOOKUP(B79,[12]AKSoftSalesReport!$B$2:$C$89,2,0)</f>
        <v>1514953</v>
      </c>
      <c r="AE79" s="7">
        <f t="shared" si="63"/>
        <v>4.6738942240221654E-2</v>
      </c>
      <c r="AF79" s="85">
        <f t="shared" si="49"/>
        <v>1969345.3312917394</v>
      </c>
      <c r="AG79" s="154">
        <f>VLOOKUP(B79,[13]AKSoftSalesReport!$B$2:$C$90,2,0)</f>
        <v>1190594</v>
      </c>
      <c r="AH79" s="7">
        <f t="shared" si="64"/>
        <v>3.6731901384105294E-2</v>
      </c>
      <c r="AI79" s="85">
        <f t="shared" si="50"/>
        <v>1547698.6648192767</v>
      </c>
      <c r="AJ79" s="104">
        <f>VLOOKUP(B79,[14]AKSoftSalesReport!$A:$D,4,0)</f>
        <v>1229267.4678571429</v>
      </c>
      <c r="AK79" s="7">
        <f t="shared" si="65"/>
        <v>3.7925045316890053E-2</v>
      </c>
      <c r="AL79" s="85">
        <f t="shared" si="51"/>
        <v>1597971.7844271625</v>
      </c>
      <c r="AM79" s="6">
        <f t="shared" si="52"/>
        <v>32494332.41785714</v>
      </c>
      <c r="AN79" s="155"/>
      <c r="AO79" s="73">
        <v>32413078.41785714</v>
      </c>
      <c r="AP79" s="87">
        <f t="shared" si="66"/>
        <v>42137001.943214282</v>
      </c>
      <c r="AQ79" s="237">
        <v>0.3</v>
      </c>
      <c r="AR79" s="1">
        <v>42135000</v>
      </c>
      <c r="AS79" s="240">
        <f t="shared" si="67"/>
        <v>42240625.181473479</v>
      </c>
      <c r="AT79" s="31">
        <f t="shared" si="36"/>
        <v>105625.18147347867</v>
      </c>
      <c r="AU79" s="28">
        <f t="shared" si="53"/>
        <v>-81254</v>
      </c>
      <c r="AZ79" s="28">
        <v>544646</v>
      </c>
      <c r="BA79" s="28">
        <f t="shared" si="37"/>
        <v>905828.5</v>
      </c>
      <c r="BB79" s="253">
        <v>466214</v>
      </c>
      <c r="BC79" s="28">
        <v>1450474.5</v>
      </c>
      <c r="BD79" s="28">
        <f>VLOOKUP(B79,[20]AKSoftSalesReport!$A:$B,2,0)</f>
        <v>397110</v>
      </c>
      <c r="BE79" s="28">
        <f t="shared" si="38"/>
        <v>1876488.06</v>
      </c>
      <c r="BF79" s="28">
        <f>VLOOKUP(B79,[21]AKSoftSalesReport!$A:$B,2,0)</f>
        <v>667612.56000000006</v>
      </c>
      <c r="BG79" s="28">
        <v>2273598.06</v>
      </c>
      <c r="BH79" s="28">
        <v>667612.56000000006</v>
      </c>
      <c r="BI79" s="28">
        <f t="shared" si="39"/>
        <v>3218370.02</v>
      </c>
      <c r="BJ79" s="28">
        <f>VLOOKUP(B79,[22]AKSoftSalesReport!$A:$B,2,0)</f>
        <v>478364</v>
      </c>
      <c r="BK79" s="28">
        <v>3885982.58</v>
      </c>
    </row>
    <row r="80" spans="1:63" x14ac:dyDescent="0.3">
      <c r="A80" s="239">
        <v>77</v>
      </c>
      <c r="B80" s="89" t="s">
        <v>60</v>
      </c>
      <c r="C80" s="70">
        <v>0</v>
      </c>
      <c r="D80" s="7">
        <f t="shared" si="54"/>
        <v>0</v>
      </c>
      <c r="E80" s="85">
        <f t="shared" si="40"/>
        <v>0</v>
      </c>
      <c r="F80" s="70">
        <v>0</v>
      </c>
      <c r="G80" s="7">
        <f t="shared" si="55"/>
        <v>0</v>
      </c>
      <c r="H80" s="85">
        <f t="shared" si="41"/>
        <v>0</v>
      </c>
      <c r="I80" s="70">
        <v>0</v>
      </c>
      <c r="J80" s="7">
        <f t="shared" si="56"/>
        <v>0</v>
      </c>
      <c r="K80" s="85">
        <f t="shared" si="42"/>
        <v>0</v>
      </c>
      <c r="L80" s="6">
        <v>0</v>
      </c>
      <c r="M80" s="7">
        <f t="shared" si="57"/>
        <v>0</v>
      </c>
      <c r="N80" s="85">
        <f t="shared" si="43"/>
        <v>0</v>
      </c>
      <c r="O80" s="6">
        <v>270354.20000000013</v>
      </c>
      <c r="P80" s="7">
        <f t="shared" si="58"/>
        <v>5.3690389897188516E-2</v>
      </c>
      <c r="Q80" s="85">
        <f t="shared" si="44"/>
        <v>365094.65130088193</v>
      </c>
      <c r="R80" s="6">
        <v>1058660.0000000023</v>
      </c>
      <c r="S80" s="7">
        <f t="shared" si="59"/>
        <v>0.21024222360354564</v>
      </c>
      <c r="T80" s="85">
        <f t="shared" si="45"/>
        <v>1429647.1205041104</v>
      </c>
      <c r="U80" s="71">
        <f>VLOOKUP(B80,[9]AKSoftSalesReport!$B$2:$C$94,2,0)</f>
        <v>1524315.25</v>
      </c>
      <c r="V80" s="7">
        <f t="shared" si="60"/>
        <v>0.30271799032058816</v>
      </c>
      <c r="W80" s="85">
        <f t="shared" si="46"/>
        <v>2058482.3341799995</v>
      </c>
      <c r="X80" s="71">
        <f>VLOOKUP(B80,[10]AKSoftSalesReport!$B$2:$C$94,2,0)</f>
        <v>1782723</v>
      </c>
      <c r="Y80" s="7">
        <f t="shared" si="61"/>
        <v>0.35403590160125331</v>
      </c>
      <c r="Z80" s="85">
        <f t="shared" si="47"/>
        <v>2407444.1308885226</v>
      </c>
      <c r="AA80" s="71">
        <f>VLOOKUP(B80,[11]AKSoftSalesReport!$B$2:$C$94,2,0)</f>
        <v>541946</v>
      </c>
      <c r="AB80" s="7">
        <f t="shared" si="62"/>
        <v>0.10762655820853427</v>
      </c>
      <c r="AC80" s="85">
        <f t="shared" si="48"/>
        <v>731860.59581803309</v>
      </c>
      <c r="AD80" s="51">
        <v>0</v>
      </c>
      <c r="AE80" s="7">
        <f t="shared" si="63"/>
        <v>0</v>
      </c>
      <c r="AF80" s="85">
        <f t="shared" si="49"/>
        <v>0</v>
      </c>
      <c r="AG80" s="154">
        <v>0</v>
      </c>
      <c r="AH80" s="7">
        <f t="shared" si="64"/>
        <v>0</v>
      </c>
      <c r="AI80" s="85">
        <f t="shared" si="50"/>
        <v>0</v>
      </c>
      <c r="AJ80" s="104">
        <v>0</v>
      </c>
      <c r="AK80" s="7">
        <f t="shared" si="65"/>
        <v>0</v>
      </c>
      <c r="AL80" s="85">
        <f t="shared" si="51"/>
        <v>0</v>
      </c>
      <c r="AM80" s="6">
        <f t="shared" si="52"/>
        <v>5177998.450000002</v>
      </c>
      <c r="AN80" s="155"/>
      <c r="AO80" s="104">
        <v>5035430.0000000028</v>
      </c>
      <c r="AP80" s="87">
        <f t="shared" si="66"/>
        <v>6797830.5000000037</v>
      </c>
      <c r="AQ80" s="237">
        <v>0.35</v>
      </c>
      <c r="AR80" s="3">
        <v>6800000</v>
      </c>
      <c r="AS80" s="240">
        <f t="shared" si="67"/>
        <v>6992528.8326915484</v>
      </c>
      <c r="AT80" s="31">
        <f t="shared" si="36"/>
        <v>192528.83269154839</v>
      </c>
      <c r="AU80" s="28">
        <f t="shared" si="53"/>
        <v>-142568.44999999925</v>
      </c>
      <c r="AZ80" s="28">
        <v>0</v>
      </c>
      <c r="BA80" s="28">
        <f t="shared" si="37"/>
        <v>0</v>
      </c>
      <c r="BB80" s="253">
        <v>0</v>
      </c>
      <c r="BC80" s="28">
        <v>0</v>
      </c>
      <c r="BD80" s="28">
        <v>0</v>
      </c>
      <c r="BE80" s="28">
        <f t="shared" si="38"/>
        <v>270354.20000000013</v>
      </c>
      <c r="BF80" s="28">
        <f>VLOOKUP(B80,[21]AKSoftSalesReport!$A:$B,2,0)</f>
        <v>270354.20000000013</v>
      </c>
      <c r="BG80" s="28">
        <v>270354.20000000013</v>
      </c>
      <c r="BH80" s="28">
        <v>270354.20000000013</v>
      </c>
      <c r="BI80" s="28">
        <f t="shared" si="39"/>
        <v>788305.80000000214</v>
      </c>
      <c r="BJ80" s="28">
        <f>VLOOKUP(B80,[22]AKSoftSalesReport!$A:$B,2,0)</f>
        <v>142568.44999999998</v>
      </c>
      <c r="BK80" s="28">
        <v>1058660.0000000023</v>
      </c>
    </row>
    <row r="81" spans="1:63" x14ac:dyDescent="0.3">
      <c r="A81" s="61">
        <v>78</v>
      </c>
      <c r="B81" s="90" t="s">
        <v>120</v>
      </c>
      <c r="C81" s="70">
        <v>0</v>
      </c>
      <c r="D81" s="7">
        <f t="shared" si="54"/>
        <v>0</v>
      </c>
      <c r="E81" s="85">
        <f t="shared" si="40"/>
        <v>0</v>
      </c>
      <c r="F81" s="70">
        <v>0</v>
      </c>
      <c r="G81" s="7">
        <f t="shared" si="55"/>
        <v>0</v>
      </c>
      <c r="H81" s="85">
        <f t="shared" si="41"/>
        <v>0</v>
      </c>
      <c r="I81" s="70">
        <v>0</v>
      </c>
      <c r="J81" s="7">
        <f t="shared" si="56"/>
        <v>0</v>
      </c>
      <c r="K81" s="85">
        <f t="shared" si="42"/>
        <v>0</v>
      </c>
      <c r="L81" s="6">
        <v>0</v>
      </c>
      <c r="M81" s="7">
        <f t="shared" si="57"/>
        <v>0</v>
      </c>
      <c r="N81" s="85">
        <f t="shared" si="43"/>
        <v>0</v>
      </c>
      <c r="O81" s="6">
        <v>143426.19999999998</v>
      </c>
      <c r="P81" s="7">
        <f t="shared" si="58"/>
        <v>3.61921065636895E-2</v>
      </c>
      <c r="Q81" s="85">
        <f t="shared" si="44"/>
        <v>193627.77011573882</v>
      </c>
      <c r="R81" s="6">
        <v>592173.35000000021</v>
      </c>
      <c r="S81" s="7">
        <f t="shared" si="59"/>
        <v>0.14942877233990032</v>
      </c>
      <c r="T81" s="85">
        <f t="shared" si="45"/>
        <v>799443.93201846664</v>
      </c>
      <c r="U81" s="71">
        <f>VLOOKUP(B81,[9]AKSoftSalesReport!$B$2:$C$94,2,0)</f>
        <v>1258338.07</v>
      </c>
      <c r="V81" s="7">
        <f t="shared" si="60"/>
        <v>0.31752849564854529</v>
      </c>
      <c r="W81" s="85">
        <f t="shared" si="46"/>
        <v>1698777.4517197174</v>
      </c>
      <c r="X81" s="71">
        <f>VLOOKUP(B81,[10]AKSoftSalesReport!$B$2:$C$94,2,0)</f>
        <v>1540363.2200000002</v>
      </c>
      <c r="Y81" s="7">
        <f t="shared" si="61"/>
        <v>0.3886946025553763</v>
      </c>
      <c r="Z81" s="85">
        <f t="shared" si="47"/>
        <v>2079516.1236712632</v>
      </c>
      <c r="AA81" s="71">
        <f>VLOOKUP(B81,[11]AKSoftSalesReport!$B$2:$C$94,2,0)</f>
        <v>510052.03</v>
      </c>
      <c r="AB81" s="7">
        <f t="shared" si="62"/>
        <v>0.12870631323137724</v>
      </c>
      <c r="AC81" s="85">
        <f t="shared" si="48"/>
        <v>688578.77578786819</v>
      </c>
      <c r="AD81" s="51">
        <v>0</v>
      </c>
      <c r="AE81" s="7">
        <f t="shared" si="63"/>
        <v>0</v>
      </c>
      <c r="AF81" s="85">
        <f t="shared" si="49"/>
        <v>0</v>
      </c>
      <c r="AG81" s="154">
        <v>0</v>
      </c>
      <c r="AH81" s="7">
        <f t="shared" si="64"/>
        <v>0</v>
      </c>
      <c r="AI81" s="85">
        <f t="shared" si="50"/>
        <v>0</v>
      </c>
      <c r="AJ81" s="104">
        <v>0</v>
      </c>
      <c r="AK81" s="7">
        <f t="shared" si="65"/>
        <v>0</v>
      </c>
      <c r="AL81" s="85">
        <f t="shared" si="51"/>
        <v>0</v>
      </c>
      <c r="AM81" s="6">
        <f t="shared" si="52"/>
        <v>4044352.8700000006</v>
      </c>
      <c r="AN81" s="155"/>
      <c r="AO81" s="104">
        <v>3962913.8400000003</v>
      </c>
      <c r="AP81" s="87">
        <f t="shared" si="66"/>
        <v>5349933.6840000004</v>
      </c>
      <c r="AQ81" s="237">
        <v>0.35</v>
      </c>
      <c r="AR81" s="3">
        <v>5350000</v>
      </c>
      <c r="AS81" s="240">
        <f t="shared" si="67"/>
        <v>5459944.0533130551</v>
      </c>
      <c r="AT81" s="31">
        <f t="shared" si="36"/>
        <v>109944.05331305508</v>
      </c>
      <c r="AU81" s="28">
        <f t="shared" si="53"/>
        <v>-81439.030000000261</v>
      </c>
      <c r="AZ81" s="28">
        <v>0</v>
      </c>
      <c r="BA81" s="28">
        <f t="shared" si="37"/>
        <v>0</v>
      </c>
      <c r="BB81" s="253">
        <v>0</v>
      </c>
      <c r="BC81" s="28">
        <v>0</v>
      </c>
      <c r="BD81" s="28">
        <v>0</v>
      </c>
      <c r="BE81" s="28">
        <f t="shared" si="38"/>
        <v>143426.19999999998</v>
      </c>
      <c r="BF81" s="28">
        <f>VLOOKUP(B81,[21]AKSoftSalesReport!$A:$B,2,0)</f>
        <v>143426.19999999998</v>
      </c>
      <c r="BG81" s="28">
        <v>143426.19999999998</v>
      </c>
      <c r="BH81" s="28">
        <v>143426.19999999998</v>
      </c>
      <c r="BI81" s="28">
        <f t="shared" si="39"/>
        <v>448747.15000000026</v>
      </c>
      <c r="BJ81" s="28">
        <f>VLOOKUP(B81,[22]AKSoftSalesReport!$A:$B,2,0)</f>
        <v>81439.03</v>
      </c>
      <c r="BK81" s="28">
        <v>592173.35000000021</v>
      </c>
    </row>
    <row r="82" spans="1:63" x14ac:dyDescent="0.3">
      <c r="A82" s="239">
        <v>79</v>
      </c>
      <c r="B82" s="102" t="s">
        <v>224</v>
      </c>
      <c r="C82" s="70">
        <v>210000</v>
      </c>
      <c r="D82" s="7">
        <f t="shared" si="54"/>
        <v>1.46449082656565E-2</v>
      </c>
      <c r="E82" s="85">
        <v>400000</v>
      </c>
      <c r="F82" s="70">
        <v>225000</v>
      </c>
      <c r="G82" s="7">
        <f t="shared" si="55"/>
        <v>1.5690973141774821E-2</v>
      </c>
      <c r="H82" s="85">
        <v>300000</v>
      </c>
      <c r="I82" s="70">
        <v>150000</v>
      </c>
      <c r="J82" s="7">
        <f t="shared" si="56"/>
        <v>1.0460648761183215E-2</v>
      </c>
      <c r="K82" s="85">
        <v>500000</v>
      </c>
      <c r="L82" s="6">
        <v>376000</v>
      </c>
      <c r="M82" s="7">
        <f t="shared" si="57"/>
        <v>2.6221359561365926E-2</v>
      </c>
      <c r="N82" s="85">
        <v>700000</v>
      </c>
      <c r="O82" s="6">
        <v>633000</v>
      </c>
      <c r="P82" s="7">
        <f t="shared" si="58"/>
        <v>4.4143937772193165E-2</v>
      </c>
      <c r="Q82" s="85">
        <v>1200000</v>
      </c>
      <c r="R82" s="6">
        <v>1385000</v>
      </c>
      <c r="S82" s="7">
        <f t="shared" si="59"/>
        <v>9.6586656894925016E-2</v>
      </c>
      <c r="T82" s="85">
        <v>2000000</v>
      </c>
      <c r="U82" s="71">
        <f>VLOOKUP(B82,[9]AKSoftSalesReport!$B$2:$C$94,2,0)</f>
        <v>2762857</v>
      </c>
      <c r="V82" s="7">
        <f t="shared" si="60"/>
        <v>0.1926751776958425</v>
      </c>
      <c r="W82" s="85">
        <v>3500000</v>
      </c>
      <c r="X82" s="71">
        <f>VLOOKUP(B82,[10]AKSoftSalesReport!$B$2:$C$94,2,0)</f>
        <v>3622889.15</v>
      </c>
      <c r="Y82" s="7">
        <f t="shared" si="61"/>
        <v>0.25265180599234405</v>
      </c>
      <c r="Z82" s="85">
        <v>4500000</v>
      </c>
      <c r="AA82" s="71">
        <f>VLOOKUP(B82,[11]AKSoftSalesReport!$B$2:$C$94,2,0)</f>
        <v>1388355.07</v>
      </c>
      <c r="AB82" s="7">
        <f t="shared" si="62"/>
        <v>9.6820631620519571E-2</v>
      </c>
      <c r="AC82" s="85">
        <v>1600000</v>
      </c>
      <c r="AD82" s="51">
        <f>VLOOKUP(B82,[12]AKSoftSalesReport!$B$2:$C$89,2,0)</f>
        <v>420702</v>
      </c>
      <c r="AE82" s="7">
        <f t="shared" si="63"/>
        <v>2.933877236751534E-2</v>
      </c>
      <c r="AF82" s="85">
        <v>500000</v>
      </c>
      <c r="AG82" s="154">
        <f>VLOOKUP(B82,[13]AKSoftSalesReport!$B$2:$C$90,2,0)</f>
        <v>292031</v>
      </c>
      <c r="AH82" s="7">
        <f t="shared" si="64"/>
        <v>2.036555812251397E-2</v>
      </c>
      <c r="AI82" s="85">
        <v>350000</v>
      </c>
      <c r="AJ82" s="104">
        <f>VLOOKUP(B82,[14]AKSoftSalesReport!$A:$D,4,0)</f>
        <v>299424.57142857142</v>
      </c>
      <c r="AK82" s="7">
        <f t="shared" si="65"/>
        <v>2.0881168481214005E-2</v>
      </c>
      <c r="AL82" s="85">
        <v>330000</v>
      </c>
      <c r="AM82" s="6">
        <f t="shared" si="52"/>
        <v>11765258.791428572</v>
      </c>
      <c r="AN82" s="155">
        <f>AM82-404804</f>
        <v>11360454.791428572</v>
      </c>
      <c r="AO82" s="101">
        <f>AN82+2979000</f>
        <v>14339454.791428572</v>
      </c>
      <c r="AP82" s="87">
        <v>15883099.368428571</v>
      </c>
      <c r="AQ82" s="237">
        <v>0.35</v>
      </c>
      <c r="AR82" s="3">
        <v>15880000</v>
      </c>
      <c r="AS82" s="240">
        <f t="shared" si="67"/>
        <v>15880000</v>
      </c>
      <c r="AT82" s="31">
        <f t="shared" si="36"/>
        <v>0</v>
      </c>
      <c r="AU82" s="28"/>
      <c r="AZ82" s="28">
        <v>0</v>
      </c>
      <c r="BA82" s="28">
        <f t="shared" si="37"/>
        <v>376000</v>
      </c>
      <c r="BB82" s="253">
        <v>0</v>
      </c>
      <c r="BC82" s="28">
        <v>0</v>
      </c>
      <c r="BD82" s="28">
        <v>0</v>
      </c>
      <c r="BE82" s="28">
        <f t="shared" si="38"/>
        <v>633000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</row>
    <row r="83" spans="1:63" x14ac:dyDescent="0.3">
      <c r="A83" s="61">
        <v>80</v>
      </c>
      <c r="B83" s="106" t="s">
        <v>255</v>
      </c>
      <c r="C83" s="70">
        <v>0</v>
      </c>
      <c r="D83" s="7">
        <f t="shared" si="54"/>
        <v>0</v>
      </c>
      <c r="E83" s="85">
        <f t="shared" si="40"/>
        <v>0</v>
      </c>
      <c r="F83" s="70">
        <v>0</v>
      </c>
      <c r="G83" s="7">
        <f t="shared" si="55"/>
        <v>0</v>
      </c>
      <c r="H83" s="85">
        <f t="shared" si="41"/>
        <v>0</v>
      </c>
      <c r="I83" s="70">
        <v>0</v>
      </c>
      <c r="J83" s="7">
        <f t="shared" si="56"/>
        <v>0</v>
      </c>
      <c r="K83" s="85">
        <f t="shared" si="42"/>
        <v>0</v>
      </c>
      <c r="L83" s="6">
        <v>0</v>
      </c>
      <c r="M83" s="7">
        <f t="shared" si="57"/>
        <v>0</v>
      </c>
      <c r="N83" s="85">
        <f t="shared" si="43"/>
        <v>0</v>
      </c>
      <c r="O83" s="6">
        <v>0</v>
      </c>
      <c r="P83" s="7">
        <f t="shared" si="58"/>
        <v>0</v>
      </c>
      <c r="Q83" s="85">
        <f t="shared" si="44"/>
        <v>0</v>
      </c>
      <c r="R83" s="6">
        <v>0</v>
      </c>
      <c r="S83" s="7">
        <f t="shared" si="59"/>
        <v>0</v>
      </c>
      <c r="T83" s="85">
        <f t="shared" si="45"/>
        <v>0</v>
      </c>
      <c r="U83" s="71"/>
      <c r="V83" s="7">
        <f t="shared" si="60"/>
        <v>0</v>
      </c>
      <c r="W83" s="85">
        <f t="shared" si="46"/>
        <v>0</v>
      </c>
      <c r="X83" s="71">
        <f>VLOOKUP(B83,[10]AKSoftSalesReport!$B$2:$C$94,2,0)</f>
        <v>170953</v>
      </c>
      <c r="Y83" s="7">
        <f t="shared" si="61"/>
        <v>0.40107404783243167</v>
      </c>
      <c r="Z83" s="85">
        <f t="shared" si="47"/>
        <v>230617.57750364821</v>
      </c>
      <c r="AA83" s="71">
        <f>VLOOKUP(B83,[11]AKSoftSalesReport!$B$2:$C$94,2,0)</f>
        <v>25285</v>
      </c>
      <c r="AB83" s="7">
        <f t="shared" si="62"/>
        <v>5.9321318136815585E-2</v>
      </c>
      <c r="AC83" s="85">
        <f t="shared" si="48"/>
        <v>34109.757928668958</v>
      </c>
      <c r="AD83" s="51">
        <v>0</v>
      </c>
      <c r="AE83" s="7">
        <f t="shared" si="63"/>
        <v>0</v>
      </c>
      <c r="AF83" s="85">
        <f t="shared" si="49"/>
        <v>0</v>
      </c>
      <c r="AG83" s="154">
        <v>0</v>
      </c>
      <c r="AH83" s="7">
        <f t="shared" si="64"/>
        <v>0</v>
      </c>
      <c r="AI83" s="85">
        <f t="shared" si="50"/>
        <v>0</v>
      </c>
      <c r="AJ83" s="104">
        <v>0</v>
      </c>
      <c r="AK83" s="7">
        <f t="shared" si="65"/>
        <v>0</v>
      </c>
      <c r="AL83" s="85">
        <f t="shared" si="51"/>
        <v>0</v>
      </c>
      <c r="AM83" s="6">
        <f t="shared" si="52"/>
        <v>196238</v>
      </c>
      <c r="AN83" s="155"/>
      <c r="AO83" s="101">
        <v>426238</v>
      </c>
      <c r="AP83" s="87">
        <f t="shared" si="66"/>
        <v>575421.30000000005</v>
      </c>
      <c r="AQ83" s="237">
        <v>0.35</v>
      </c>
      <c r="AR83" s="3">
        <v>575000</v>
      </c>
      <c r="AS83" s="240">
        <f t="shared" si="67"/>
        <v>264727.33543231717</v>
      </c>
      <c r="AT83" s="31">
        <f t="shared" si="36"/>
        <v>-310272.66456768283</v>
      </c>
      <c r="AU83" s="28"/>
      <c r="AZ83" s="28">
        <v>0</v>
      </c>
      <c r="BA83" s="28">
        <f t="shared" si="37"/>
        <v>0</v>
      </c>
      <c r="BB83" s="253">
        <v>0</v>
      </c>
      <c r="BC83" s="28">
        <v>0</v>
      </c>
      <c r="BD83" s="28">
        <v>0</v>
      </c>
      <c r="BE83" s="28">
        <f t="shared" si="38"/>
        <v>0</v>
      </c>
      <c r="BF83" s="28">
        <v>0</v>
      </c>
      <c r="BG83" s="28">
        <v>0</v>
      </c>
      <c r="BH83" s="28">
        <v>0</v>
      </c>
      <c r="BI83" s="28">
        <f t="shared" ref="BI83:BI93" si="68">R83-BH83</f>
        <v>0</v>
      </c>
      <c r="BJ83" s="28">
        <v>0</v>
      </c>
      <c r="BK83" s="28">
        <v>0</v>
      </c>
    </row>
    <row r="84" spans="1:63" ht="17.25" customHeight="1" x14ac:dyDescent="0.3">
      <c r="A84" s="239">
        <v>81</v>
      </c>
      <c r="B84" s="89" t="s">
        <v>20</v>
      </c>
      <c r="C84" s="70">
        <f>VLOOKUP(B84,[3]AKSoftSalesReport!$B$2:$C$87,2,0)</f>
        <v>1912591.01</v>
      </c>
      <c r="D84" s="7">
        <f t="shared" si="54"/>
        <v>7.9338592629538157E-2</v>
      </c>
      <c r="E84" s="85">
        <f t="shared" si="40"/>
        <v>2256786.2673472129</v>
      </c>
      <c r="F84" s="70">
        <v>1470948.5</v>
      </c>
      <c r="G84" s="7">
        <f t="shared" si="55"/>
        <v>6.1018264338976586E-2</v>
      </c>
      <c r="H84" s="85">
        <f t="shared" si="41"/>
        <v>1735664.5291221889</v>
      </c>
      <c r="I84" s="70">
        <v>1396484</v>
      </c>
      <c r="J84" s="7">
        <f t="shared" si="56"/>
        <v>5.7929308780797814E-2</v>
      </c>
      <c r="K84" s="85">
        <f t="shared" si="42"/>
        <v>1647799.1882697938</v>
      </c>
      <c r="L84" s="6">
        <v>1988761.5</v>
      </c>
      <c r="M84" s="7">
        <f t="shared" si="57"/>
        <v>8.2498316504064945E-2</v>
      </c>
      <c r="N84" s="85">
        <f t="shared" si="43"/>
        <v>2346664.6129581272</v>
      </c>
      <c r="O84" s="6">
        <v>2106647.2700000005</v>
      </c>
      <c r="P84" s="7">
        <f t="shared" si="58"/>
        <v>8.7388484362194471E-2</v>
      </c>
      <c r="Q84" s="85">
        <f t="shared" si="44"/>
        <v>2485765.4376826216</v>
      </c>
      <c r="R84" s="6">
        <v>2044420</v>
      </c>
      <c r="S84" s="7">
        <f t="shared" si="59"/>
        <v>8.4807156729070063E-2</v>
      </c>
      <c r="T84" s="85">
        <f t="shared" si="45"/>
        <v>2412339.5731583978</v>
      </c>
      <c r="U84" s="71">
        <f>VLOOKUP(B84,[9]AKSoftSalesReport!$B$2:$C$94,2,0)</f>
        <v>2186370</v>
      </c>
      <c r="V84" s="7">
        <f t="shared" si="60"/>
        <v>9.0695563170844012E-2</v>
      </c>
      <c r="W84" s="85">
        <f t="shared" si="46"/>
        <v>2579835.2943946579</v>
      </c>
      <c r="X84" s="71">
        <f>VLOOKUP(B84,[10]AKSoftSalesReport!$B$2:$C$94,2,0)</f>
        <v>2217932</v>
      </c>
      <c r="Y84" s="7">
        <f t="shared" si="61"/>
        <v>9.2004826179757498E-2</v>
      </c>
      <c r="Z84" s="85">
        <f t="shared" si="47"/>
        <v>2617077.2806832022</v>
      </c>
      <c r="AA84" s="71">
        <f>VLOOKUP(B84,[11]AKSoftSalesReport!$B$2:$C$94,2,0)</f>
        <v>2196572</v>
      </c>
      <c r="AB84" s="7">
        <f t="shared" si="62"/>
        <v>9.111876516111507E-2</v>
      </c>
      <c r="AC84" s="85">
        <f t="shared" si="48"/>
        <v>2591873.275007918</v>
      </c>
      <c r="AD84" s="51">
        <f>VLOOKUP(B84,[12]AKSoftSalesReport!$B$2:$C$89,2,0)</f>
        <v>2238091.0700000003</v>
      </c>
      <c r="AE84" s="7">
        <f t="shared" si="63"/>
        <v>9.2841069910988019E-2</v>
      </c>
      <c r="AF84" s="85">
        <f t="shared" si="49"/>
        <v>2640864.2336180541</v>
      </c>
      <c r="AG84" s="154">
        <f>VLOOKUP(B84,[13]AKSoftSalesReport!$B$2:$C$90,2,0)</f>
        <v>2118998</v>
      </c>
      <c r="AH84" s="7">
        <f t="shared" si="64"/>
        <v>8.7900820523466802E-2</v>
      </c>
      <c r="AI84" s="85">
        <f t="shared" si="50"/>
        <v>2500338.8397900132</v>
      </c>
      <c r="AJ84" s="104">
        <f>VLOOKUP(B84,[14]AKSoftSalesReport!$A:$D,4,0)</f>
        <v>2199383.5714285714</v>
      </c>
      <c r="AK84" s="7">
        <f t="shared" si="65"/>
        <v>9.1235395490889687E-2</v>
      </c>
      <c r="AL84" s="85">
        <f t="shared" si="51"/>
        <v>2595190.8247383572</v>
      </c>
      <c r="AM84" s="6">
        <f t="shared" si="52"/>
        <v>24077198.921428572</v>
      </c>
      <c r="AN84" s="155"/>
      <c r="AO84" s="73">
        <v>24106691.921428572</v>
      </c>
      <c r="AP84" s="87">
        <f t="shared" si="66"/>
        <v>28445896.467285715</v>
      </c>
      <c r="AQ84" s="237">
        <v>0.18</v>
      </c>
      <c r="AR84" s="25">
        <v>28445000</v>
      </c>
      <c r="AS84" s="240">
        <f t="shared" si="67"/>
        <v>28410199.356770545</v>
      </c>
      <c r="AT84" s="31">
        <f t="shared" si="36"/>
        <v>-34800.643229454756</v>
      </c>
      <c r="AU84" s="28">
        <f t="shared" si="53"/>
        <v>29493</v>
      </c>
      <c r="AZ84" s="28">
        <v>661660</v>
      </c>
      <c r="BA84" s="28">
        <f t="shared" si="37"/>
        <v>1327101.5</v>
      </c>
      <c r="BB84" s="253">
        <v>684352.5</v>
      </c>
      <c r="BC84" s="28">
        <v>1988761.5</v>
      </c>
      <c r="BD84" s="28">
        <f>VLOOKUP(B84,[20]AKSoftSalesReport!$A:$B,2,0)</f>
        <v>352440</v>
      </c>
      <c r="BE84" s="28">
        <f t="shared" si="38"/>
        <v>1754207.2700000005</v>
      </c>
      <c r="BF84" s="28">
        <f>VLOOKUP(B84,[21]AKSoftSalesReport!$A:$B,2,0)</f>
        <v>345530</v>
      </c>
      <c r="BG84" s="28">
        <v>2106647.2700000005</v>
      </c>
      <c r="BH84" s="28">
        <v>345530</v>
      </c>
      <c r="BI84" s="28">
        <f t="shared" si="68"/>
        <v>1698890</v>
      </c>
      <c r="BJ84" s="28">
        <f>VLOOKUP(B84,[22]AKSoftSalesReport!$A:$B,2,0)</f>
        <v>322947</v>
      </c>
      <c r="BK84" s="28">
        <v>2044420</v>
      </c>
    </row>
    <row r="85" spans="1:63" x14ac:dyDescent="0.3">
      <c r="A85" s="61">
        <v>82</v>
      </c>
      <c r="B85" s="90" t="s">
        <v>89</v>
      </c>
      <c r="C85" s="70">
        <f>VLOOKUP(B85,[3]AKSoftSalesReport!$B$2:$C$87,2,0)</f>
        <v>2664928.6599999955</v>
      </c>
      <c r="D85" s="7">
        <f t="shared" si="54"/>
        <v>6.6287097149031082E-2</v>
      </c>
      <c r="E85" s="85">
        <f t="shared" si="40"/>
        <v>3464163.6970083644</v>
      </c>
      <c r="F85" s="70">
        <v>1839707</v>
      </c>
      <c r="G85" s="7">
        <f t="shared" si="55"/>
        <v>4.5760638348477496E-2</v>
      </c>
      <c r="H85" s="85">
        <f t="shared" si="41"/>
        <v>2391450.960091434</v>
      </c>
      <c r="I85" s="70">
        <v>2006009</v>
      </c>
      <c r="J85" s="7">
        <f t="shared" si="56"/>
        <v>4.9897213182746487E-2</v>
      </c>
      <c r="K85" s="85">
        <f t="shared" si="42"/>
        <v>2607628.3609303315</v>
      </c>
      <c r="L85" s="6">
        <v>2535959.7599999974</v>
      </c>
      <c r="M85" s="7">
        <f t="shared" si="57"/>
        <v>6.3079141104345232E-2</v>
      </c>
      <c r="N85" s="85">
        <f t="shared" si="43"/>
        <v>3296515.914113082</v>
      </c>
      <c r="O85" s="6">
        <v>2868858.8199999831</v>
      </c>
      <c r="P85" s="7">
        <f t="shared" si="58"/>
        <v>7.1359630057862E-2</v>
      </c>
      <c r="Q85" s="85">
        <f t="shared" si="44"/>
        <v>3729254.2668238683</v>
      </c>
      <c r="R85" s="6">
        <v>3590680.1499999985</v>
      </c>
      <c r="S85" s="7">
        <f t="shared" si="59"/>
        <v>8.9314122177720071E-2</v>
      </c>
      <c r="T85" s="85">
        <f t="shared" si="45"/>
        <v>4667556.0250076512</v>
      </c>
      <c r="U85" s="71">
        <f>VLOOKUP(B85,[9]AKSoftSalesReport!$B$2:$C$94,2,0)</f>
        <v>3221535.439999992</v>
      </c>
      <c r="V85" s="7">
        <f t="shared" si="60"/>
        <v>8.0132063527856859E-2</v>
      </c>
      <c r="W85" s="85">
        <f t="shared" si="46"/>
        <v>4187701.6399657996</v>
      </c>
      <c r="X85" s="71">
        <f>VLOOKUP(B85,[10]AKSoftSalesReport!$B$2:$C$94,2,0)</f>
        <v>4318853.1499999855</v>
      </c>
      <c r="Y85" s="7">
        <f t="shared" si="61"/>
        <v>0.10742660493074829</v>
      </c>
      <c r="Z85" s="85">
        <f t="shared" si="47"/>
        <v>5614114.3736809054</v>
      </c>
      <c r="AA85" s="71">
        <f>VLOOKUP(B85,[11]AKSoftSalesReport!$B$2:$C$94,2,0)</f>
        <v>4643698.08</v>
      </c>
      <c r="AB85" s="7">
        <f t="shared" si="62"/>
        <v>0.11550675647719953</v>
      </c>
      <c r="AC85" s="85">
        <f t="shared" si="48"/>
        <v>6036383.0934984479</v>
      </c>
      <c r="AD85" s="51">
        <f>VLOOKUP(B85,[12]AKSoftSalesReport!$B$2:$C$89,2,0)</f>
        <v>4475863.1899999995</v>
      </c>
      <c r="AE85" s="7">
        <f t="shared" si="63"/>
        <v>0.1113320527316865</v>
      </c>
      <c r="AF85" s="85">
        <f t="shared" si="49"/>
        <v>5818213.0757579366</v>
      </c>
      <c r="AG85" s="154">
        <f>VLOOKUP(B85,[13]AKSoftSalesReport!$B$2:$C$90,2,0)</f>
        <v>4782810</v>
      </c>
      <c r="AH85" s="7">
        <f t="shared" si="64"/>
        <v>0.11896700871360583</v>
      </c>
      <c r="AI85" s="85">
        <f t="shared" si="50"/>
        <v>6217215.8753730403</v>
      </c>
      <c r="AJ85" s="104">
        <f>VLOOKUP(B85,[14]AKSoftSalesReport!$A:$D,4,0)</f>
        <v>3338913.1914285719</v>
      </c>
      <c r="AK85" s="7">
        <f t="shared" si="65"/>
        <v>8.3051702814591497E-2</v>
      </c>
      <c r="AL85" s="85">
        <f t="shared" si="51"/>
        <v>4340281.9890905516</v>
      </c>
      <c r="AM85" s="6">
        <f t="shared" si="52"/>
        <v>40287816.44142852</v>
      </c>
      <c r="AN85" s="155"/>
      <c r="AO85" s="73">
        <v>40202826.411428526</v>
      </c>
      <c r="AP85" s="87">
        <f t="shared" si="66"/>
        <v>52263674.334857084</v>
      </c>
      <c r="AQ85" s="237">
        <v>0.3</v>
      </c>
      <c r="AR85" s="1">
        <v>52260000</v>
      </c>
      <c r="AS85" s="240">
        <f t="shared" si="67"/>
        <v>52370479.271341413</v>
      </c>
      <c r="AT85" s="31">
        <f t="shared" si="36"/>
        <v>110479.27134141326</v>
      </c>
      <c r="AU85" s="28">
        <f t="shared" si="53"/>
        <v>-84990.029999993742</v>
      </c>
      <c r="AZ85" s="28">
        <v>882670</v>
      </c>
      <c r="BA85" s="28">
        <f t="shared" si="37"/>
        <v>1653289.7599999974</v>
      </c>
      <c r="BB85" s="253">
        <v>867991</v>
      </c>
      <c r="BC85" s="28">
        <v>2535959.7599999974</v>
      </c>
      <c r="BD85" s="28">
        <f>VLOOKUP(B85,[20]AKSoftSalesReport!$A:$B,2,0)</f>
        <v>463903.97000000038</v>
      </c>
      <c r="BE85" s="28">
        <f t="shared" si="38"/>
        <v>2404954.8499999829</v>
      </c>
      <c r="BF85" s="28">
        <f>VLOOKUP(B85,[21]AKSoftSalesReport!$A:$B,2,0)</f>
        <v>700287.17</v>
      </c>
      <c r="BG85" s="28">
        <v>2868858.8199999831</v>
      </c>
      <c r="BH85" s="28">
        <v>700287.17</v>
      </c>
      <c r="BI85" s="28">
        <f t="shared" si="68"/>
        <v>2890392.9799999986</v>
      </c>
      <c r="BJ85" s="28">
        <f>VLOOKUP(B85,[22]AKSoftSalesReport!$A:$B,2,0)</f>
        <v>548894</v>
      </c>
      <c r="BK85" s="28">
        <v>3590680.1499999985</v>
      </c>
    </row>
    <row r="86" spans="1:63" x14ac:dyDescent="0.3">
      <c r="A86" s="239">
        <v>83</v>
      </c>
      <c r="B86" s="89" t="s">
        <v>122</v>
      </c>
      <c r="C86" s="70">
        <f>VLOOKUP(B86,[3]AKSoftSalesReport!$B$2:$C$87,2,0)</f>
        <v>1316282.4200000009</v>
      </c>
      <c r="D86" s="7">
        <f t="shared" si="54"/>
        <v>7.3312941103399587E-2</v>
      </c>
      <c r="E86" s="85">
        <f t="shared" si="40"/>
        <v>1711124.0453533463</v>
      </c>
      <c r="F86" s="70">
        <v>1201786.75</v>
      </c>
      <c r="G86" s="7">
        <f t="shared" si="55"/>
        <v>6.6935879324131628E-2</v>
      </c>
      <c r="H86" s="85">
        <f t="shared" si="41"/>
        <v>1562283.4234252323</v>
      </c>
      <c r="I86" s="70">
        <v>1341907</v>
      </c>
      <c r="J86" s="7">
        <f t="shared" si="56"/>
        <v>7.474015254054639E-2</v>
      </c>
      <c r="K86" s="85">
        <f t="shared" si="42"/>
        <v>1744435.1602963528</v>
      </c>
      <c r="L86" s="6">
        <v>1405909.5</v>
      </c>
      <c r="M86" s="7">
        <f t="shared" si="57"/>
        <v>7.8304897797092723E-2</v>
      </c>
      <c r="N86" s="85">
        <f t="shared" si="43"/>
        <v>1827636.3145841442</v>
      </c>
      <c r="O86" s="6">
        <v>1595589</v>
      </c>
      <c r="P86" s="7">
        <f t="shared" si="58"/>
        <v>8.8869471022967966E-2</v>
      </c>
      <c r="Q86" s="85">
        <f t="shared" si="44"/>
        <v>2074213.4536760724</v>
      </c>
      <c r="R86" s="6">
        <v>1640883</v>
      </c>
      <c r="S86" s="7">
        <f t="shared" si="59"/>
        <v>9.1392209535526223E-2</v>
      </c>
      <c r="T86" s="85">
        <f t="shared" si="45"/>
        <v>2133094.1705591818</v>
      </c>
      <c r="U86" s="71">
        <f>VLOOKUP(B86,[9]AKSoftSalesReport!$B$2:$C$94,2,0)</f>
        <v>1669898</v>
      </c>
      <c r="V86" s="7">
        <f t="shared" si="60"/>
        <v>9.3008257090210683E-2</v>
      </c>
      <c r="W86" s="85">
        <f t="shared" si="46"/>
        <v>2170812.7204855173</v>
      </c>
      <c r="X86" s="71">
        <f>VLOOKUP(B86,[10]AKSoftSalesReport!$B$2:$C$94,2,0)</f>
        <v>1832527</v>
      </c>
      <c r="Y86" s="7">
        <f t="shared" si="61"/>
        <v>0.10206619945694438</v>
      </c>
      <c r="Z86" s="85">
        <f t="shared" si="47"/>
        <v>2382225.0953250821</v>
      </c>
      <c r="AA86" s="71">
        <f>VLOOKUP(B86,[11]AKSoftSalesReport!$B$2:$C$94,2,0)</f>
        <v>1559808</v>
      </c>
      <c r="AB86" s="7">
        <f t="shared" si="62"/>
        <v>8.6876577776227856E-2</v>
      </c>
      <c r="AC86" s="85">
        <f t="shared" si="48"/>
        <v>2027699.3252971582</v>
      </c>
      <c r="AD86" s="51">
        <f>VLOOKUP(B86,[12]AKSoftSalesReport!$B$2:$C$89,2,0)</f>
        <v>1391032</v>
      </c>
      <c r="AE86" s="7">
        <f t="shared" si="63"/>
        <v>7.7476266141231348E-2</v>
      </c>
      <c r="AF86" s="85">
        <f t="shared" si="49"/>
        <v>1808296.0517363397</v>
      </c>
      <c r="AG86" s="154">
        <f>VLOOKUP(B86,[13]AKSoftSalesReport!$B$2:$C$90,2,0)</f>
        <v>1446531</v>
      </c>
      <c r="AH86" s="7">
        <f t="shared" si="64"/>
        <v>8.056739222213545E-2</v>
      </c>
      <c r="AI86" s="85">
        <f t="shared" si="50"/>
        <v>1880442.9344646414</v>
      </c>
      <c r="AJ86" s="104">
        <f>VLOOKUP(B86,[14]AKSoftSalesReport!$A:$D,4,0)</f>
        <v>1576956.7142857143</v>
      </c>
      <c r="AK86" s="7">
        <f t="shared" si="65"/>
        <v>8.7831709183686449E-2</v>
      </c>
      <c r="AL86" s="85">
        <f t="shared" si="51"/>
        <v>2049992.0923472417</v>
      </c>
      <c r="AM86" s="6">
        <f t="shared" si="52"/>
        <v>17979110.384285714</v>
      </c>
      <c r="AN86" s="155"/>
      <c r="AO86" s="73">
        <v>17954298.384285714</v>
      </c>
      <c r="AP86" s="87">
        <f t="shared" si="66"/>
        <v>23340587.89957143</v>
      </c>
      <c r="AQ86" s="237">
        <v>0.3</v>
      </c>
      <c r="AR86" s="1">
        <v>23340000</v>
      </c>
      <c r="AS86" s="240">
        <f t="shared" si="67"/>
        <v>23372254.787550308</v>
      </c>
      <c r="AT86" s="31">
        <f t="shared" si="36"/>
        <v>32254.78755030781</v>
      </c>
      <c r="AU86" s="28">
        <f t="shared" si="53"/>
        <v>-24812</v>
      </c>
      <c r="AZ86" s="28">
        <v>433253</v>
      </c>
      <c r="BA86" s="28">
        <f t="shared" si="37"/>
        <v>972656.5</v>
      </c>
      <c r="BB86" s="253">
        <v>445875.5</v>
      </c>
      <c r="BC86" s="28">
        <v>1405909.5</v>
      </c>
      <c r="BD86" s="28">
        <f>VLOOKUP(B86,[20]AKSoftSalesReport!$A:$B,2,0)</f>
        <v>254122</v>
      </c>
      <c r="BE86" s="28">
        <f t="shared" si="38"/>
        <v>1341467</v>
      </c>
      <c r="BF86" s="28">
        <f>VLOOKUP(B86,[21]AKSoftSalesReport!$A:$B,2,0)</f>
        <v>338283</v>
      </c>
      <c r="BG86" s="28">
        <v>1595589</v>
      </c>
      <c r="BH86" s="28">
        <v>338283</v>
      </c>
      <c r="BI86" s="28">
        <f t="shared" si="68"/>
        <v>1302600</v>
      </c>
      <c r="BJ86" s="28">
        <f>VLOOKUP(B86,[22]AKSoftSalesReport!$A:$B,2,0)</f>
        <v>278934</v>
      </c>
      <c r="BK86" s="28">
        <v>1640883</v>
      </c>
    </row>
    <row r="87" spans="1:63" x14ac:dyDescent="0.3">
      <c r="A87" s="61">
        <v>84</v>
      </c>
      <c r="B87" s="90" t="s">
        <v>102</v>
      </c>
      <c r="C87" s="70">
        <f>VLOOKUP(B87,[3]AKSoftSalesReport!$B$2:$C$87,2,0)</f>
        <v>835786.47000000149</v>
      </c>
      <c r="D87" s="7">
        <f t="shared" si="54"/>
        <v>7.3916091131992392E-2</v>
      </c>
      <c r="E87" s="85">
        <f t="shared" si="40"/>
        <v>1128329.1311298639</v>
      </c>
      <c r="F87" s="70">
        <v>591377.03</v>
      </c>
      <c r="G87" s="7">
        <f t="shared" si="55"/>
        <v>5.2300772998690591E-2</v>
      </c>
      <c r="H87" s="85">
        <f t="shared" si="41"/>
        <v>798371.29982501187</v>
      </c>
      <c r="I87" s="70">
        <v>583046.89</v>
      </c>
      <c r="J87" s="7">
        <f t="shared" si="56"/>
        <v>5.1564064031168949E-2</v>
      </c>
      <c r="K87" s="85">
        <f t="shared" si="42"/>
        <v>787125.43743579404</v>
      </c>
      <c r="L87" s="6">
        <v>803137.97</v>
      </c>
      <c r="M87" s="7">
        <f t="shared" si="57"/>
        <v>7.1028691553338089E-2</v>
      </c>
      <c r="N87" s="85">
        <f t="shared" si="43"/>
        <v>1084252.9765617058</v>
      </c>
      <c r="O87" s="6">
        <v>999616.66000000178</v>
      </c>
      <c r="P87" s="7">
        <f t="shared" si="58"/>
        <v>8.8405063721141416E-2</v>
      </c>
      <c r="Q87" s="85">
        <f t="shared" si="44"/>
        <v>1349503.2977032238</v>
      </c>
      <c r="R87" s="6">
        <v>1013490.4000000026</v>
      </c>
      <c r="S87" s="7">
        <f t="shared" si="59"/>
        <v>8.9632042940105836E-2</v>
      </c>
      <c r="T87" s="85">
        <f t="shared" si="45"/>
        <v>1368233.1354807157</v>
      </c>
      <c r="U87" s="71">
        <f>VLOOKUP(B87,[9]AKSoftSalesReport!$B$2:$C$94,2,0)</f>
        <v>1247736</v>
      </c>
      <c r="V87" s="7">
        <f t="shared" si="60"/>
        <v>0.11034848157408852</v>
      </c>
      <c r="W87" s="85">
        <f t="shared" si="46"/>
        <v>1684469.5712284613</v>
      </c>
      <c r="X87" s="71">
        <f>VLOOKUP(B87,[10]AKSoftSalesReport!$B$2:$C$94,2,0)</f>
        <v>1354258.2600000002</v>
      </c>
      <c r="Y87" s="7">
        <f t="shared" si="61"/>
        <v>0.11976920009534646</v>
      </c>
      <c r="Z87" s="85">
        <f t="shared" si="47"/>
        <v>1828276.8394554637</v>
      </c>
      <c r="AA87" s="71">
        <f>VLOOKUP(B87,[11]AKSoftSalesReport!$B$2:$C$94,2,0)</f>
        <v>1045536.2300000002</v>
      </c>
      <c r="AB87" s="7">
        <f t="shared" si="62"/>
        <v>9.2466143007172194E-2</v>
      </c>
      <c r="AC87" s="85">
        <f t="shared" si="48"/>
        <v>1411495.6730044836</v>
      </c>
      <c r="AD87" s="51">
        <f>VLOOKUP(B87,[12]AKSoftSalesReport!$B$2:$C$89,2,0)</f>
        <v>1063043.1900000009</v>
      </c>
      <c r="AE87" s="7">
        <f t="shared" si="63"/>
        <v>9.4014440445875883E-2</v>
      </c>
      <c r="AF87" s="85">
        <f t="shared" si="49"/>
        <v>1435130.4334062953</v>
      </c>
      <c r="AG87" s="154">
        <f>VLOOKUP(B87,[13]AKSoftSalesReport!$B$2:$C$90,2,0)</f>
        <v>864809</v>
      </c>
      <c r="AH87" s="7">
        <f t="shared" si="64"/>
        <v>7.6482813673410019E-2</v>
      </c>
      <c r="AI87" s="85">
        <f t="shared" si="50"/>
        <v>1167510.150724604</v>
      </c>
      <c r="AJ87" s="104">
        <f>VLOOKUP(B87,[14]AKSoftSalesReport!$A:$D,4,0)</f>
        <v>901426.25928571483</v>
      </c>
      <c r="AK87" s="7">
        <f t="shared" si="65"/>
        <v>7.9721206219255714E-2</v>
      </c>
      <c r="AL87" s="85">
        <f t="shared" si="51"/>
        <v>1216944.2129369385</v>
      </c>
      <c r="AM87" s="6">
        <f t="shared" si="52"/>
        <v>11303264.359285722</v>
      </c>
      <c r="AN87" s="155"/>
      <c r="AO87" s="73">
        <v>11307233.069285722</v>
      </c>
      <c r="AP87" s="87">
        <f t="shared" si="66"/>
        <v>15264764.643535726</v>
      </c>
      <c r="AQ87" s="237">
        <v>0.35</v>
      </c>
      <c r="AR87" s="1">
        <v>15265000</v>
      </c>
      <c r="AS87" s="240">
        <f t="shared" si="67"/>
        <v>15259642.158892563</v>
      </c>
      <c r="AT87" s="31">
        <f t="shared" si="36"/>
        <v>-5357.8411074373871</v>
      </c>
      <c r="AU87" s="28">
        <f t="shared" si="53"/>
        <v>3968.7100000008941</v>
      </c>
      <c r="AZ87" s="28">
        <v>268545.5</v>
      </c>
      <c r="BA87" s="28">
        <f t="shared" si="37"/>
        <v>534592.47</v>
      </c>
      <c r="BB87" s="253">
        <v>193441</v>
      </c>
      <c r="BC87" s="28">
        <v>803137.97</v>
      </c>
      <c r="BD87" s="28">
        <f>VLOOKUP(B87,[20]AKSoftSalesReport!$A:$B,2,0)</f>
        <v>164170.72999999992</v>
      </c>
      <c r="BE87" s="28">
        <f t="shared" si="38"/>
        <v>835445.9300000018</v>
      </c>
      <c r="BF87" s="28">
        <f>VLOOKUP(B87,[21]AKSoftSalesReport!$A:$B,2,0)</f>
        <v>177279.21999999997</v>
      </c>
      <c r="BG87" s="28">
        <v>999616.66000000178</v>
      </c>
      <c r="BH87" s="28">
        <v>177279.21999999997</v>
      </c>
      <c r="BI87" s="28">
        <f t="shared" si="68"/>
        <v>836211.18000000261</v>
      </c>
      <c r="BJ87" s="28">
        <f>VLOOKUP(B87,[22]AKSoftSalesReport!$A:$B,2,0)</f>
        <v>160202.01999999993</v>
      </c>
      <c r="BK87" s="28">
        <v>1013490.4000000026</v>
      </c>
    </row>
    <row r="88" spans="1:63" x14ac:dyDescent="0.3">
      <c r="A88" s="239">
        <v>85</v>
      </c>
      <c r="B88" s="89" t="s">
        <v>19</v>
      </c>
      <c r="C88" s="70">
        <f>VLOOKUP(B88,[3]AKSoftSalesReport!$B$2:$C$87,2,0)</f>
        <v>1012869.0700000041</v>
      </c>
      <c r="D88" s="7">
        <f t="shared" si="54"/>
        <v>4.8407759508230425E-2</v>
      </c>
      <c r="E88" s="85">
        <f t="shared" si="40"/>
        <v>1316691.0586238676</v>
      </c>
      <c r="F88" s="70">
        <v>782364</v>
      </c>
      <c r="G88" s="7">
        <f t="shared" si="55"/>
        <v>3.7391297139616503E-2</v>
      </c>
      <c r="H88" s="85">
        <f t="shared" si="41"/>
        <v>1017043.2821975689</v>
      </c>
      <c r="I88" s="70">
        <v>1345605</v>
      </c>
      <c r="J88" s="7">
        <f t="shared" si="56"/>
        <v>6.431011190130638E-2</v>
      </c>
      <c r="K88" s="85">
        <f t="shared" si="42"/>
        <v>1749235.0437155336</v>
      </c>
      <c r="L88" s="6">
        <v>1708545</v>
      </c>
      <c r="M88" s="7">
        <f t="shared" si="57"/>
        <v>8.1655998705725319E-2</v>
      </c>
      <c r="N88" s="85">
        <f t="shared" si="43"/>
        <v>2221043.1647957289</v>
      </c>
      <c r="O88" s="6">
        <v>2165877.4000000004</v>
      </c>
      <c r="P88" s="7">
        <f t="shared" si="58"/>
        <v>0.10351315427522234</v>
      </c>
      <c r="Q88" s="85">
        <f t="shared" si="44"/>
        <v>2815557.7962860479</v>
      </c>
      <c r="R88" s="6">
        <v>2634125.6299999976</v>
      </c>
      <c r="S88" s="7">
        <f t="shared" si="59"/>
        <v>0.12589200696147756</v>
      </c>
      <c r="T88" s="85">
        <f t="shared" si="45"/>
        <v>3424262.5893521896</v>
      </c>
      <c r="U88" s="71">
        <f>VLOOKUP(B88,[9]AKSoftSalesReport!$B$2:$C$94,2,0)</f>
        <v>2951806.569999997</v>
      </c>
      <c r="V88" s="7">
        <f t="shared" si="60"/>
        <v>0.14107484055700684</v>
      </c>
      <c r="W88" s="85">
        <f t="shared" si="46"/>
        <v>3837235.6631505857</v>
      </c>
      <c r="X88" s="71">
        <f>VLOOKUP(B88,[10]AKSoftSalesReport!$B$2:$C$94,2,0)</f>
        <v>2520955.359999992</v>
      </c>
      <c r="Y88" s="7">
        <f t="shared" si="61"/>
        <v>0.12048329286811331</v>
      </c>
      <c r="Z88" s="85">
        <f t="shared" si="47"/>
        <v>3277145.5660126819</v>
      </c>
      <c r="AA88" s="71">
        <f>VLOOKUP(B88,[11]AKSoftSalesReport!$B$2:$C$94,2,0)</f>
        <v>2098781.1300000036</v>
      </c>
      <c r="AB88" s="7">
        <f t="shared" si="62"/>
        <v>0.10030644158326589</v>
      </c>
      <c r="AC88" s="85">
        <f t="shared" si="48"/>
        <v>2728335.2110648323</v>
      </c>
      <c r="AD88" s="51">
        <f>VLOOKUP(B88,[12]AKSoftSalesReport!$B$2:$C$89,2,0)</f>
        <v>1822729.1</v>
      </c>
      <c r="AE88" s="7">
        <f t="shared" si="63"/>
        <v>8.7113166484048057E-2</v>
      </c>
      <c r="AF88" s="85">
        <f t="shared" si="49"/>
        <v>2369478.1283661071</v>
      </c>
      <c r="AG88" s="154">
        <f>VLOOKUP(B88,[13]AKSoftSalesReport!$B$2:$C$90,2,0)</f>
        <v>1096670</v>
      </c>
      <c r="AH88" s="7">
        <f t="shared" si="64"/>
        <v>5.2412833200534831E-2</v>
      </c>
      <c r="AI88" s="85">
        <f t="shared" si="50"/>
        <v>1425629.0630545474</v>
      </c>
      <c r="AJ88" s="104">
        <f>VLOOKUP(B88,[14]AKSoftSalesReport!$A:$D,4,0)</f>
        <v>791753.2857142858</v>
      </c>
      <c r="AK88" s="7">
        <f t="shared" si="65"/>
        <v>3.7840036565346236E-2</v>
      </c>
      <c r="AL88" s="85">
        <f t="shared" si="51"/>
        <v>1029248.9945774176</v>
      </c>
      <c r="AM88" s="6">
        <f t="shared" si="52"/>
        <v>20932081.545714278</v>
      </c>
      <c r="AN88" s="155"/>
      <c r="AO88" s="74">
        <v>20923692.405714281</v>
      </c>
      <c r="AP88" s="87">
        <f t="shared" si="66"/>
        <v>27200800.127428565</v>
      </c>
      <c r="AQ88" s="237">
        <v>0.3</v>
      </c>
      <c r="AR88" s="25">
        <v>27200000</v>
      </c>
      <c r="AS88" s="240">
        <f t="shared" si="67"/>
        <v>27210905.561197106</v>
      </c>
      <c r="AT88" s="31">
        <f t="shared" si="36"/>
        <v>10905.561197105795</v>
      </c>
      <c r="AU88" s="28">
        <f t="shared" si="53"/>
        <v>-8389.1399999968708</v>
      </c>
      <c r="AZ88" s="28">
        <v>1036089</v>
      </c>
      <c r="BA88" s="28">
        <f t="shared" si="37"/>
        <v>672456</v>
      </c>
      <c r="BB88" s="253">
        <v>335228</v>
      </c>
      <c r="BC88" s="28">
        <v>1708545</v>
      </c>
      <c r="BD88" s="28">
        <f>VLOOKUP(B88,[20]AKSoftSalesReport!$A:$B,2,0)</f>
        <v>321246</v>
      </c>
      <c r="BE88" s="28">
        <f t="shared" si="38"/>
        <v>1844631.4000000004</v>
      </c>
      <c r="BF88" s="28">
        <f>VLOOKUP(B88,[21]AKSoftSalesReport!$A:$B,2,0)</f>
        <v>562827.40000000026</v>
      </c>
      <c r="BG88" s="28">
        <v>2165877.4000000004</v>
      </c>
      <c r="BH88" s="28">
        <v>562827.40000000026</v>
      </c>
      <c r="BI88" s="28">
        <f t="shared" si="68"/>
        <v>2071298.2299999972</v>
      </c>
      <c r="BJ88" s="28">
        <f>VLOOKUP(B88,[22]AKSoftSalesReport!$A:$B,2,0)</f>
        <v>329635.14000000031</v>
      </c>
      <c r="BK88" s="28">
        <v>2634125.6299999976</v>
      </c>
    </row>
    <row r="89" spans="1:63" x14ac:dyDescent="0.3">
      <c r="A89" s="61">
        <v>86</v>
      </c>
      <c r="B89" s="90" t="s">
        <v>90</v>
      </c>
      <c r="C89" s="70">
        <f>VLOOKUP(B89,[3]AKSoftSalesReport!$B$2:$C$87,2,0)</f>
        <v>2382120.9599999925</v>
      </c>
      <c r="D89" s="7">
        <f t="shared" si="54"/>
        <v>7.1977496667436525E-2</v>
      </c>
      <c r="E89" s="85">
        <f t="shared" si="40"/>
        <v>3096471.9066331191</v>
      </c>
      <c r="F89" s="70">
        <v>1850980.9299999992</v>
      </c>
      <c r="G89" s="7">
        <f t="shared" si="55"/>
        <v>5.5928718968395255E-2</v>
      </c>
      <c r="H89" s="85">
        <f t="shared" si="41"/>
        <v>2406053.4900203641</v>
      </c>
      <c r="I89" s="70">
        <v>1929965</v>
      </c>
      <c r="J89" s="7">
        <f t="shared" si="56"/>
        <v>5.8315279403682994E-2</v>
      </c>
      <c r="K89" s="85">
        <f t="shared" si="42"/>
        <v>2508723.3199464423</v>
      </c>
      <c r="L89" s="6">
        <v>2560135.69</v>
      </c>
      <c r="M89" s="7">
        <f t="shared" si="57"/>
        <v>7.7356339660921702E-2</v>
      </c>
      <c r="N89" s="85">
        <f t="shared" si="43"/>
        <v>3327869.7322128518</v>
      </c>
      <c r="O89" s="6">
        <v>3007425.4799999897</v>
      </c>
      <c r="P89" s="7">
        <f t="shared" si="58"/>
        <v>9.0871522101154609E-2</v>
      </c>
      <c r="Q89" s="85">
        <f t="shared" si="44"/>
        <v>3909292.8807916711</v>
      </c>
      <c r="R89" s="6">
        <v>2982419.0599999796</v>
      </c>
      <c r="S89" s="7">
        <f t="shared" si="59"/>
        <v>9.0115935150517454E-2</v>
      </c>
      <c r="T89" s="85">
        <f t="shared" si="45"/>
        <v>3876787.5301752607</v>
      </c>
      <c r="U89" s="71">
        <f>VLOOKUP(B89,[9]AKSoftSalesReport!$B$2:$C$94,2,0)</f>
        <v>3170622.9299999955</v>
      </c>
      <c r="V89" s="7">
        <f t="shared" si="60"/>
        <v>9.580265033131366E-2</v>
      </c>
      <c r="W89" s="85">
        <f t="shared" si="46"/>
        <v>4121430.0172531134</v>
      </c>
      <c r="X89" s="71">
        <f>VLOOKUP(B89,[10]AKSoftSalesReport!$B$2:$C$94,2,0)</f>
        <v>3346765.669999999</v>
      </c>
      <c r="Y89" s="7">
        <f t="shared" si="61"/>
        <v>0.10112492980168256</v>
      </c>
      <c r="Z89" s="85">
        <f t="shared" si="47"/>
        <v>4350394.4800683837</v>
      </c>
      <c r="AA89" s="71">
        <f>VLOOKUP(B89,[11]AKSoftSalesReport!$B$2:$C$94,2,0)</f>
        <v>2860914.6299999962</v>
      </c>
      <c r="AB89" s="7">
        <f t="shared" si="62"/>
        <v>8.6444591481469421E-2</v>
      </c>
      <c r="AC89" s="85">
        <f t="shared" si="48"/>
        <v>3718846.3255328145</v>
      </c>
      <c r="AD89" s="51">
        <f>VLOOKUP(B89,[12]AKSoftSalesReport!$B$2:$C$89,2,0)</f>
        <v>3054809.3900000006</v>
      </c>
      <c r="AE89" s="7">
        <f t="shared" si="63"/>
        <v>9.2303260993253478E-2</v>
      </c>
      <c r="AF89" s="85">
        <f t="shared" si="49"/>
        <v>3970886.2879297645</v>
      </c>
      <c r="AG89" s="154">
        <f>VLOOKUP(B89,[13]AKSoftSalesReport!$B$2:$C$90,2,0)</f>
        <v>3016367.1799999969</v>
      </c>
      <c r="AH89" s="7">
        <f t="shared" si="64"/>
        <v>9.1141701992419125E-2</v>
      </c>
      <c r="AI89" s="85">
        <f t="shared" si="50"/>
        <v>3920916.0197138707</v>
      </c>
      <c r="AJ89" s="104">
        <f>VLOOKUP(B89,[14]AKSoftSalesReport!$A:$D,4,0)</f>
        <v>2952303.9542857148</v>
      </c>
      <c r="AK89" s="7">
        <f t="shared" si="65"/>
        <v>8.9205985589774744E-2</v>
      </c>
      <c r="AL89" s="85">
        <f t="shared" si="51"/>
        <v>3837641.5000721095</v>
      </c>
      <c r="AM89" s="6">
        <f t="shared" si="52"/>
        <v>33114830.874285664</v>
      </c>
      <c r="AN89" s="155"/>
      <c r="AO89" s="73">
        <v>33095357.16428566</v>
      </c>
      <c r="AP89" s="87">
        <f t="shared" si="66"/>
        <v>43023964.313571356</v>
      </c>
      <c r="AQ89" s="237">
        <v>0.3</v>
      </c>
      <c r="AR89" s="3">
        <v>43020000</v>
      </c>
      <c r="AS89" s="240">
        <f t="shared" si="67"/>
        <v>43045313.490349762</v>
      </c>
      <c r="AT89" s="31">
        <f t="shared" si="36"/>
        <v>25313.490349762142</v>
      </c>
      <c r="AU89" s="28">
        <f t="shared" si="53"/>
        <v>-19473.710000004619</v>
      </c>
      <c r="AZ89" s="28">
        <v>766856</v>
      </c>
      <c r="BA89" s="28">
        <f t="shared" si="37"/>
        <v>1793279.69</v>
      </c>
      <c r="BB89" s="253">
        <v>790525.19000000006</v>
      </c>
      <c r="BC89" s="28">
        <v>2560135.69</v>
      </c>
      <c r="BD89" s="28">
        <f>VLOOKUP(B89,[20]AKSoftSalesReport!$A:$B,2,0)</f>
        <v>468078.0500000004</v>
      </c>
      <c r="BE89" s="28">
        <f t="shared" si="38"/>
        <v>2539347.4299999895</v>
      </c>
      <c r="BF89" s="28">
        <f>VLOOKUP(B89,[21]AKSoftSalesReport!$A:$B,2,0)</f>
        <v>526995.06000000052</v>
      </c>
      <c r="BG89" s="28">
        <v>3007425.4799999897</v>
      </c>
      <c r="BH89" s="28">
        <v>526995.06000000052</v>
      </c>
      <c r="BI89" s="28">
        <f t="shared" si="68"/>
        <v>2455423.999999979</v>
      </c>
      <c r="BJ89" s="28">
        <f>VLOOKUP(B89,[22]AKSoftSalesReport!$A:$B,2,0)</f>
        <v>487551.76000000059</v>
      </c>
      <c r="BK89" s="28">
        <v>2982419.0599999796</v>
      </c>
    </row>
    <row r="90" spans="1:63" x14ac:dyDescent="0.3">
      <c r="A90" s="239">
        <v>87</v>
      </c>
      <c r="B90" s="89" t="s">
        <v>144</v>
      </c>
      <c r="C90" s="70">
        <f>VLOOKUP(B90,[3]AKSoftSalesReport!$B$2:$C$87,2,0)</f>
        <v>1696984.4800000007</v>
      </c>
      <c r="D90" s="7">
        <f t="shared" si="54"/>
        <v>7.299892624010014E-2</v>
      </c>
      <c r="E90" s="85">
        <f t="shared" si="40"/>
        <v>2291071.3000455429</v>
      </c>
      <c r="F90" s="70">
        <v>1370464.35</v>
      </c>
      <c r="G90" s="7">
        <f t="shared" si="55"/>
        <v>5.8953058899122494E-2</v>
      </c>
      <c r="H90" s="85">
        <f t="shared" si="41"/>
        <v>1850241.7535489595</v>
      </c>
      <c r="I90" s="70">
        <v>1409463.5</v>
      </c>
      <c r="J90" s="7">
        <f t="shared" si="56"/>
        <v>6.0630679471277989E-2</v>
      </c>
      <c r="K90" s="85">
        <f t="shared" si="42"/>
        <v>1902893.8752060598</v>
      </c>
      <c r="L90" s="6">
        <v>1828885</v>
      </c>
      <c r="M90" s="7">
        <f t="shared" si="57"/>
        <v>7.8672871078128842E-2</v>
      </c>
      <c r="N90" s="85">
        <f t="shared" si="43"/>
        <v>2469148.0587870739</v>
      </c>
      <c r="O90" s="6">
        <v>2085645.75</v>
      </c>
      <c r="P90" s="7">
        <f t="shared" si="58"/>
        <v>8.9717909657740819E-2</v>
      </c>
      <c r="Q90" s="85">
        <f t="shared" si="44"/>
        <v>2815796.5946081956</v>
      </c>
      <c r="R90" s="6">
        <v>1961472.5</v>
      </c>
      <c r="S90" s="7">
        <f t="shared" si="59"/>
        <v>8.4376367631532362E-2</v>
      </c>
      <c r="T90" s="85">
        <f t="shared" si="45"/>
        <v>2648152.2981156432</v>
      </c>
      <c r="U90" s="71">
        <f>VLOOKUP(B90,[9]AKSoftSalesReport!$B$2:$C$94,2,0)</f>
        <v>2193597</v>
      </c>
      <c r="V90" s="7">
        <f t="shared" si="60"/>
        <v>9.4361632348873861E-2</v>
      </c>
      <c r="W90" s="85">
        <f t="shared" si="46"/>
        <v>2961539.8312694062</v>
      </c>
      <c r="X90" s="71">
        <f>VLOOKUP(B90,[10]AKSoftSalesReport!$B$2:$C$94,2,0)</f>
        <v>2306991.2300000004</v>
      </c>
      <c r="Y90" s="7">
        <f t="shared" si="61"/>
        <v>9.9239494892332705E-2</v>
      </c>
      <c r="Z90" s="85">
        <f t="shared" si="47"/>
        <v>3114631.547195862</v>
      </c>
      <c r="AA90" s="71">
        <f>VLOOKUP(B90,[11]AKSoftSalesReport!$B$2:$C$94,2,0)</f>
        <v>2221706.0099999998</v>
      </c>
      <c r="AB90" s="7">
        <f t="shared" si="62"/>
        <v>9.557079340594625E-2</v>
      </c>
      <c r="AC90" s="85">
        <f t="shared" si="48"/>
        <v>2999489.351045623</v>
      </c>
      <c r="AD90" s="51">
        <f>VLOOKUP(B90,[12]AKSoftSalesReport!$B$2:$C$89,2,0)</f>
        <v>2180738.4000000004</v>
      </c>
      <c r="AE90" s="7">
        <f t="shared" si="63"/>
        <v>9.3808495885922286E-2</v>
      </c>
      <c r="AF90" s="85">
        <f t="shared" si="49"/>
        <v>2944179.643379671</v>
      </c>
      <c r="AG90" s="154">
        <f>VLOOKUP(B90,[13]AKSoftSalesReport!$B$2:$C$90,2,0)</f>
        <v>2031976</v>
      </c>
      <c r="AH90" s="7">
        <f t="shared" si="64"/>
        <v>8.7409206091061994E-2</v>
      </c>
      <c r="AI90" s="85">
        <f t="shared" si="50"/>
        <v>2743337.9331679805</v>
      </c>
      <c r="AJ90" s="104">
        <f>VLOOKUP(B90,[14]AKSoftSalesReport!$A:$D,4,0)</f>
        <v>1986780.4564285721</v>
      </c>
      <c r="AK90" s="7">
        <f t="shared" si="65"/>
        <v>8.5465036188251867E-2</v>
      </c>
      <c r="AL90" s="85">
        <f t="shared" si="51"/>
        <v>2682320.1607682849</v>
      </c>
      <c r="AM90" s="6">
        <f t="shared" si="52"/>
        <v>23274704.676428575</v>
      </c>
      <c r="AN90" s="155"/>
      <c r="AO90" s="73">
        <v>23246704.676428575</v>
      </c>
      <c r="AP90" s="87">
        <f t="shared" si="66"/>
        <v>31383051.313178577</v>
      </c>
      <c r="AQ90" s="237">
        <v>0.35</v>
      </c>
      <c r="AR90" s="3">
        <v>31385000</v>
      </c>
      <c r="AS90" s="240">
        <f t="shared" si="67"/>
        <v>31422802.347138301</v>
      </c>
      <c r="AT90" s="31">
        <f t="shared" si="36"/>
        <v>37802.347138300538</v>
      </c>
      <c r="AU90" s="28">
        <f t="shared" si="53"/>
        <v>-28000</v>
      </c>
      <c r="AZ90" s="28">
        <v>562912.25</v>
      </c>
      <c r="BA90" s="28">
        <f t="shared" si="37"/>
        <v>1265972.75</v>
      </c>
      <c r="BB90" s="253">
        <v>575420.5</v>
      </c>
      <c r="BC90" s="28">
        <v>1828885</v>
      </c>
      <c r="BD90" s="28">
        <f>VLOOKUP(B90,[20]AKSoftSalesReport!$A:$B,2,0)</f>
        <v>309279</v>
      </c>
      <c r="BE90" s="28">
        <f t="shared" si="38"/>
        <v>1776366.75</v>
      </c>
      <c r="BF90" s="28">
        <f>VLOOKUP(B90,[21]AKSoftSalesReport!$A:$B,2,0)</f>
        <v>325761.25</v>
      </c>
      <c r="BG90" s="28">
        <v>2085645.75</v>
      </c>
      <c r="BH90" s="28">
        <v>325761.25</v>
      </c>
      <c r="BI90" s="28">
        <f t="shared" si="68"/>
        <v>1635711.25</v>
      </c>
      <c r="BJ90" s="28">
        <f>VLOOKUP(B90,[22]AKSoftSalesReport!$A:$B,2,0)</f>
        <v>337279</v>
      </c>
      <c r="BK90" s="28">
        <v>1961472.5</v>
      </c>
    </row>
    <row r="91" spans="1:63" x14ac:dyDescent="0.3">
      <c r="A91" s="61">
        <v>88</v>
      </c>
      <c r="B91" s="90" t="s">
        <v>145</v>
      </c>
      <c r="C91" s="70">
        <f>VLOOKUP(B91,[3]AKSoftSalesReport!$B$2:$C$87,2,0)</f>
        <v>453989</v>
      </c>
      <c r="D91" s="7">
        <f t="shared" si="54"/>
        <v>6.3899804448388706E-2</v>
      </c>
      <c r="E91" s="85">
        <f t="shared" si="40"/>
        <v>612799.1246600477</v>
      </c>
      <c r="F91" s="70">
        <v>360464</v>
      </c>
      <c r="G91" s="7">
        <f t="shared" si="55"/>
        <v>5.0735985036386315E-2</v>
      </c>
      <c r="H91" s="85">
        <f t="shared" si="41"/>
        <v>486558.09649894474</v>
      </c>
      <c r="I91" s="70">
        <v>438302</v>
      </c>
      <c r="J91" s="7">
        <f t="shared" si="56"/>
        <v>6.169182973450385E-2</v>
      </c>
      <c r="K91" s="85">
        <f t="shared" si="42"/>
        <v>591624.64715389197</v>
      </c>
      <c r="L91" s="6">
        <v>525685</v>
      </c>
      <c r="M91" s="7">
        <f t="shared" si="57"/>
        <v>7.3991151110382014E-2</v>
      </c>
      <c r="N91" s="85">
        <f t="shared" si="43"/>
        <v>709575.1391485635</v>
      </c>
      <c r="O91" s="6">
        <v>678015</v>
      </c>
      <c r="P91" s="7">
        <f t="shared" si="58"/>
        <v>9.5431884722040117E-2</v>
      </c>
      <c r="Q91" s="85">
        <f t="shared" si="44"/>
        <v>915191.77448436467</v>
      </c>
      <c r="R91" s="6">
        <v>672071</v>
      </c>
      <c r="S91" s="7">
        <f t="shared" si="59"/>
        <v>9.4595255557806568E-2</v>
      </c>
      <c r="T91" s="85">
        <f t="shared" si="45"/>
        <v>907168.50079936499</v>
      </c>
      <c r="U91" s="71">
        <f>VLOOKUP(B91,[9]AKSoftSalesReport!$B$2:$C$94,2,0)</f>
        <v>671207</v>
      </c>
      <c r="V91" s="7">
        <f t="shared" si="60"/>
        <v>9.4473645935010855E-2</v>
      </c>
      <c r="W91" s="85">
        <f t="shared" si="46"/>
        <v>906002.26451675408</v>
      </c>
      <c r="X91" s="71">
        <f>VLOOKUP(B91,[10]AKSoftSalesReport!$B$2:$C$94,2,0)</f>
        <v>702592</v>
      </c>
      <c r="Y91" s="7">
        <f t="shared" si="61"/>
        <v>9.8891143633441161E-2</v>
      </c>
      <c r="Z91" s="85">
        <f t="shared" si="47"/>
        <v>948366.06744470075</v>
      </c>
      <c r="AA91" s="71">
        <f>VLOOKUP(B91,[11]AKSoftSalesReport!$B$2:$C$94,2,0)</f>
        <v>699959</v>
      </c>
      <c r="AB91" s="7">
        <f t="shared" si="62"/>
        <v>9.8520543938046323E-2</v>
      </c>
      <c r="AC91" s="85">
        <f t="shared" si="48"/>
        <v>944812.0163658642</v>
      </c>
      <c r="AD91" s="51">
        <f>VLOOKUP(B91,[12]AKSoftSalesReport!$B$2:$C$89,2,0)</f>
        <v>684413</v>
      </c>
      <c r="AE91" s="7">
        <f t="shared" si="63"/>
        <v>9.6332415238992705E-2</v>
      </c>
      <c r="AF91" s="85">
        <f t="shared" si="49"/>
        <v>923827.86214194004</v>
      </c>
      <c r="AG91" s="154">
        <f>VLOOKUP(B91,[13]AKSoftSalesReport!$B$2:$C$90,2,0)</f>
        <v>620195</v>
      </c>
      <c r="AH91" s="7">
        <f t="shared" si="64"/>
        <v>8.7293611122446657E-2</v>
      </c>
      <c r="AI91" s="85">
        <f t="shared" si="50"/>
        <v>837145.73066426348</v>
      </c>
      <c r="AJ91" s="104">
        <f>VLOOKUP(B91,[14]AKSoftSalesReport!$A:$D,4,0)</f>
        <v>598877.92857142864</v>
      </c>
      <c r="AK91" s="7">
        <f t="shared" si="65"/>
        <v>8.4293193280388715E-2</v>
      </c>
      <c r="AL91" s="85">
        <f t="shared" si="51"/>
        <v>808371.72355892777</v>
      </c>
      <c r="AM91" s="6">
        <f t="shared" si="52"/>
        <v>7105769.9285714291</v>
      </c>
      <c r="AN91" s="1"/>
      <c r="AO91" s="73">
        <v>7104700.9285714291</v>
      </c>
      <c r="AP91" s="87">
        <f t="shared" si="66"/>
        <v>9591346.2535714284</v>
      </c>
      <c r="AQ91" s="237">
        <v>0.35</v>
      </c>
      <c r="AR91" s="1">
        <v>9590000</v>
      </c>
      <c r="AS91" s="240">
        <f t="shared" si="67"/>
        <v>9591442.9474376272</v>
      </c>
      <c r="AT91" s="31">
        <f t="shared" si="36"/>
        <v>1442.947437627241</v>
      </c>
      <c r="AU91" s="28">
        <f t="shared" si="53"/>
        <v>-1069</v>
      </c>
      <c r="AZ91" s="28">
        <v>219283</v>
      </c>
      <c r="BA91" s="28">
        <f t="shared" si="37"/>
        <v>306402</v>
      </c>
      <c r="BB91" s="253">
        <v>181660</v>
      </c>
      <c r="BC91" s="28">
        <v>525685</v>
      </c>
      <c r="BD91" s="28">
        <f>VLOOKUP(B91,[20]AKSoftSalesReport!$A:$B,2,0)</f>
        <v>106805</v>
      </c>
      <c r="BE91" s="28">
        <f t="shared" si="38"/>
        <v>571210</v>
      </c>
      <c r="BF91" s="28">
        <f>VLOOKUP(B91,[21]AKSoftSalesReport!$A:$B,2,0)</f>
        <v>163139</v>
      </c>
      <c r="BG91" s="28">
        <v>678015</v>
      </c>
      <c r="BH91" s="28">
        <v>163139</v>
      </c>
      <c r="BI91" s="28">
        <f t="shared" si="68"/>
        <v>508932</v>
      </c>
      <c r="BJ91" s="28">
        <f>VLOOKUP(B91,[22]AKSoftSalesReport!$A:$B,2,0)</f>
        <v>107874</v>
      </c>
      <c r="BK91" s="28">
        <v>672071</v>
      </c>
    </row>
    <row r="92" spans="1:63" x14ac:dyDescent="0.3">
      <c r="A92" s="239">
        <v>89</v>
      </c>
      <c r="B92" s="89" t="s">
        <v>110</v>
      </c>
      <c r="C92" s="70">
        <f>VLOOKUP(B92,[3]AKSoftSalesReport!$B$2:$C$87,2,0)</f>
        <v>1121133.7100000004</v>
      </c>
      <c r="D92" s="7">
        <f t="shared" si="54"/>
        <v>7.5474248913735276E-2</v>
      </c>
      <c r="E92" s="85">
        <f t="shared" si="40"/>
        <v>1289100.1714465986</v>
      </c>
      <c r="F92" s="70">
        <v>884565.65000000014</v>
      </c>
      <c r="G92" s="7">
        <f t="shared" si="55"/>
        <v>5.9548586803834513E-2</v>
      </c>
      <c r="H92" s="85">
        <f t="shared" si="41"/>
        <v>1017089.8626094935</v>
      </c>
      <c r="I92" s="70">
        <v>1016138.3</v>
      </c>
      <c r="J92" s="7">
        <f t="shared" si="56"/>
        <v>6.8406002157387444E-2</v>
      </c>
      <c r="K92" s="85">
        <f t="shared" si="42"/>
        <v>1168374.5168481776</v>
      </c>
      <c r="L92" s="6">
        <v>1175398</v>
      </c>
      <c r="M92" s="7">
        <f t="shared" si="57"/>
        <v>7.9127298049673833E-2</v>
      </c>
      <c r="N92" s="85">
        <f t="shared" si="43"/>
        <v>1351494.250688429</v>
      </c>
      <c r="O92" s="6">
        <v>1235083.6700000002</v>
      </c>
      <c r="P92" s="7">
        <f t="shared" si="58"/>
        <v>8.314531220265392E-2</v>
      </c>
      <c r="Q92" s="85">
        <f t="shared" si="44"/>
        <v>1420121.932421329</v>
      </c>
      <c r="R92" s="6">
        <v>1326055.6000000008</v>
      </c>
      <c r="S92" s="7">
        <f t="shared" si="59"/>
        <v>8.9269504194867719E-2</v>
      </c>
      <c r="T92" s="85">
        <f t="shared" si="45"/>
        <v>1524723.1316483407</v>
      </c>
      <c r="U92" s="71">
        <f>VLOOKUP(B92,[9]AKSoftSalesReport!$B$2:$C$94,2,0)</f>
        <v>1355751.1</v>
      </c>
      <c r="V92" s="7">
        <f t="shared" si="60"/>
        <v>9.1268592741244381E-2</v>
      </c>
      <c r="W92" s="85">
        <f t="shared" si="46"/>
        <v>1558867.564020454</v>
      </c>
      <c r="X92" s="71">
        <f>VLOOKUP(B92,[10]AKSoftSalesReport!$B$2:$C$94,2,0)</f>
        <v>1546893.42</v>
      </c>
      <c r="Y92" s="7">
        <f t="shared" si="61"/>
        <v>0.10413621317665955</v>
      </c>
      <c r="Z92" s="85">
        <f t="shared" si="47"/>
        <v>1778646.5210573452</v>
      </c>
      <c r="AA92" s="71">
        <f>VLOOKUP(B92,[11]AKSoftSalesReport!$B$2:$C$94,2,0)</f>
        <v>1383140</v>
      </c>
      <c r="AB92" s="7">
        <f t="shared" si="62"/>
        <v>9.3112401947617635E-2</v>
      </c>
      <c r="AC92" s="85">
        <f t="shared" si="48"/>
        <v>1590359.8252653093</v>
      </c>
      <c r="AD92" s="51">
        <f>VLOOKUP(B92,[12]AKSoftSalesReport!$B$2:$C$89,2,0)</f>
        <v>1404276.6300000006</v>
      </c>
      <c r="AE92" s="7">
        <f t="shared" si="63"/>
        <v>9.4535310972284778E-2</v>
      </c>
      <c r="AF92" s="85">
        <f t="shared" si="49"/>
        <v>1614663.1114066241</v>
      </c>
      <c r="AG92" s="154">
        <f>VLOOKUP(B92,[13]AKSoftSalesReport!$B$2:$C$90,2,0)</f>
        <v>1302310</v>
      </c>
      <c r="AH92" s="7">
        <f t="shared" si="64"/>
        <v>8.7670960409215196E-2</v>
      </c>
      <c r="AI92" s="85">
        <f t="shared" si="50"/>
        <v>1497420.0037893956</v>
      </c>
      <c r="AJ92" s="104">
        <f>VLOOKUP(B92,[14]AKSoftSalesReport!$A:$D,4,0)</f>
        <v>1164982.3028571431</v>
      </c>
      <c r="AK92" s="7">
        <f t="shared" si="65"/>
        <v>7.8426117707170298E-2</v>
      </c>
      <c r="AL92" s="85">
        <f t="shared" si="51"/>
        <v>1339518.0904384686</v>
      </c>
      <c r="AM92" s="6">
        <f t="shared" si="52"/>
        <v>14915728.382857148</v>
      </c>
      <c r="AN92" s="1"/>
      <c r="AO92" s="73">
        <v>14854519.602857146</v>
      </c>
      <c r="AP92" s="87">
        <f t="shared" si="66"/>
        <v>17082697.54328572</v>
      </c>
      <c r="AQ92" s="237">
        <v>0.15</v>
      </c>
      <c r="AR92" s="1">
        <v>17080000</v>
      </c>
      <c r="AS92" s="240">
        <f t="shared" si="67"/>
        <v>17150378.981639963</v>
      </c>
      <c r="AT92" s="31">
        <f t="shared" si="36"/>
        <v>70378.981639962643</v>
      </c>
      <c r="AU92" s="28">
        <f t="shared" si="53"/>
        <v>-61208.780000001192</v>
      </c>
      <c r="AZ92" s="28">
        <v>419939</v>
      </c>
      <c r="BA92" s="28">
        <f t="shared" si="37"/>
        <v>755459</v>
      </c>
      <c r="BB92" s="253">
        <v>363044</v>
      </c>
      <c r="BC92" s="28">
        <v>1175398</v>
      </c>
      <c r="BD92" s="28">
        <f>VLOOKUP(B92,[20]AKSoftSalesReport!$A:$B,2,0)</f>
        <v>173555.46000000005</v>
      </c>
      <c r="BE92" s="28">
        <f t="shared" si="38"/>
        <v>1061528.2100000002</v>
      </c>
      <c r="BF92" s="28">
        <f>VLOOKUP(B92,[21]AKSoftSalesReport!$A:$B,2,0)</f>
        <v>333362.39000000007</v>
      </c>
      <c r="BG92" s="28">
        <v>1235083.6700000002</v>
      </c>
      <c r="BH92" s="28">
        <v>333362.39000000007</v>
      </c>
      <c r="BI92" s="28">
        <f t="shared" si="68"/>
        <v>992693.21000000066</v>
      </c>
      <c r="BJ92" s="28">
        <f>VLOOKUP(B92,[22]AKSoftSalesReport!$A:$B,2,0)</f>
        <v>234764.24000000002</v>
      </c>
      <c r="BK92" s="28">
        <v>1326055.6000000008</v>
      </c>
    </row>
    <row r="93" spans="1:63" ht="15" thickBot="1" x14ac:dyDescent="0.35">
      <c r="A93" s="241">
        <v>90</v>
      </c>
      <c r="B93" s="242" t="s">
        <v>152</v>
      </c>
      <c r="C93" s="243">
        <f>VLOOKUP(B93,[3]AKSoftSalesReport!$B$2:$C$87,2,0)</f>
        <v>805009</v>
      </c>
      <c r="D93" s="244">
        <f t="shared" si="54"/>
        <v>6.6199870179664402E-2</v>
      </c>
      <c r="E93" s="85">
        <f t="shared" si="40"/>
        <v>1086670.8689991911</v>
      </c>
      <c r="F93" s="243">
        <v>639453.72</v>
      </c>
      <c r="G93" s="244">
        <f t="shared" si="55"/>
        <v>5.2585440970105257E-2</v>
      </c>
      <c r="H93" s="85">
        <f t="shared" si="41"/>
        <v>863190.01352427783</v>
      </c>
      <c r="I93" s="243">
        <v>907206</v>
      </c>
      <c r="J93" s="244">
        <f t="shared" si="56"/>
        <v>7.4604034770061722E-2</v>
      </c>
      <c r="K93" s="85">
        <f t="shared" si="42"/>
        <v>1224625.2307505631</v>
      </c>
      <c r="L93" s="136">
        <v>915543</v>
      </c>
      <c r="M93" s="244">
        <f t="shared" si="57"/>
        <v>7.5289627499693146E-2</v>
      </c>
      <c r="N93" s="85">
        <f t="shared" si="43"/>
        <v>1235879.235407463</v>
      </c>
      <c r="O93" s="136">
        <v>1162507</v>
      </c>
      <c r="P93" s="244">
        <f t="shared" si="58"/>
        <v>9.559869825424451E-2</v>
      </c>
      <c r="Q93" s="85">
        <f t="shared" si="44"/>
        <v>1569252.6318434237</v>
      </c>
      <c r="R93" s="136">
        <v>1005960</v>
      </c>
      <c r="S93" s="244">
        <f t="shared" si="59"/>
        <v>8.2725064447646171E-2</v>
      </c>
      <c r="T93" s="85">
        <f t="shared" si="45"/>
        <v>1357931.932908112</v>
      </c>
      <c r="U93" s="245">
        <f>VLOOKUP(B93,[9]AKSoftSalesReport!$B$2:$C$94,2,0)</f>
        <v>1057838</v>
      </c>
      <c r="V93" s="244">
        <f t="shared" si="60"/>
        <v>8.6991248881833405E-2</v>
      </c>
      <c r="W93" s="85">
        <f t="shared" si="46"/>
        <v>1427961.3503952953</v>
      </c>
      <c r="X93" s="245">
        <v>1173839</v>
      </c>
      <c r="Y93" s="244">
        <f t="shared" si="61"/>
        <v>9.6530584641696018E-2</v>
      </c>
      <c r="Z93" s="85">
        <f t="shared" si="47"/>
        <v>1584549.5468934402</v>
      </c>
      <c r="AA93" s="245">
        <v>1114844</v>
      </c>
      <c r="AB93" s="244">
        <f t="shared" si="62"/>
        <v>9.1679134109777377E-2</v>
      </c>
      <c r="AC93" s="85">
        <f t="shared" si="48"/>
        <v>1504912.9864119957</v>
      </c>
      <c r="AD93" s="246">
        <v>1230347.2</v>
      </c>
      <c r="AE93" s="244">
        <f t="shared" si="63"/>
        <v>0.10117753331442703</v>
      </c>
      <c r="AF93" s="85">
        <f t="shared" si="49"/>
        <v>1660829.2093563196</v>
      </c>
      <c r="AG93" s="247">
        <v>1120951.01</v>
      </c>
      <c r="AH93" s="244">
        <f t="shared" si="64"/>
        <v>9.2181343736236099E-2</v>
      </c>
      <c r="AI93" s="85">
        <f t="shared" si="50"/>
        <v>1513156.7574303155</v>
      </c>
      <c r="AJ93" s="151">
        <v>1028938.7142857142</v>
      </c>
      <c r="AK93" s="244">
        <f t="shared" si="65"/>
        <v>8.4614717734267667E-2</v>
      </c>
      <c r="AL93" s="85">
        <f t="shared" si="51"/>
        <v>1388950.5916080037</v>
      </c>
      <c r="AM93" s="136">
        <f t="shared" si="52"/>
        <v>12162436.644285714</v>
      </c>
      <c r="AN93" s="136"/>
      <c r="AO93" s="151">
        <v>12160280.644285714</v>
      </c>
      <c r="AP93" s="248">
        <f t="shared" si="66"/>
        <v>16416378.869785715</v>
      </c>
      <c r="AQ93" s="249">
        <v>0.35</v>
      </c>
      <c r="AR93" s="136">
        <v>16415000</v>
      </c>
      <c r="AS93" s="250">
        <f t="shared" si="67"/>
        <v>16417910.355528399</v>
      </c>
      <c r="AT93" s="31">
        <f t="shared" si="36"/>
        <v>2910.3555283993483</v>
      </c>
      <c r="AU93" s="28">
        <f t="shared" si="53"/>
        <v>-2156</v>
      </c>
      <c r="AZ93" s="28">
        <v>417480</v>
      </c>
      <c r="BA93" s="28">
        <f t="shared" si="37"/>
        <v>498063</v>
      </c>
      <c r="BB93" s="253">
        <v>296693</v>
      </c>
      <c r="BC93" s="28">
        <v>915543</v>
      </c>
      <c r="BD93" s="28">
        <v>170312</v>
      </c>
      <c r="BE93" s="28">
        <f t="shared" si="38"/>
        <v>992195</v>
      </c>
      <c r="BF93" s="28">
        <v>322636</v>
      </c>
      <c r="BG93" s="28">
        <v>1162507</v>
      </c>
      <c r="BH93" s="28">
        <v>322636</v>
      </c>
      <c r="BI93" s="28">
        <f t="shared" si="68"/>
        <v>683324</v>
      </c>
      <c r="BJ93" s="28">
        <v>172468</v>
      </c>
      <c r="BK93" s="28">
        <v>1005960</v>
      </c>
    </row>
    <row r="94" spans="1:63" ht="16.2" thickBot="1" x14ac:dyDescent="0.35">
      <c r="A94" s="287" t="s">
        <v>21</v>
      </c>
      <c r="B94" s="288"/>
      <c r="C94" s="77">
        <v>123935306.22002108</v>
      </c>
      <c r="D94" s="152"/>
      <c r="E94" s="50">
        <f>SUM(E4:E93)</f>
        <v>150815298.84762698</v>
      </c>
      <c r="F94" s="80">
        <v>118578237.47000037</v>
      </c>
      <c r="G94" s="81"/>
      <c r="H94" s="50">
        <f>SUM(H4:H93)</f>
        <v>122271029.36391382</v>
      </c>
      <c r="I94" s="139">
        <v>85523335.089999989</v>
      </c>
      <c r="J94" s="82"/>
      <c r="K94" s="50">
        <f>SUM(K4:K93)</f>
        <v>126381880.31356789</v>
      </c>
      <c r="L94" s="80">
        <v>130014791.09000191</v>
      </c>
      <c r="M94" s="50"/>
      <c r="N94" s="50">
        <f>SUM(N4:N93)</f>
        <v>159411893.68462318</v>
      </c>
      <c r="O94" s="50">
        <v>146772707.12000585</v>
      </c>
      <c r="P94" s="50"/>
      <c r="Q94" s="50">
        <f>SUM(Q4:Q93)</f>
        <v>181707976.45748216</v>
      </c>
      <c r="R94" s="50">
        <v>156268190.02000803</v>
      </c>
      <c r="S94" s="50"/>
      <c r="T94" s="50">
        <f>SUM(T4:T93)</f>
        <v>192814806.10408929</v>
      </c>
      <c r="U94" s="50">
        <v>174914710.9499999</v>
      </c>
      <c r="V94" s="50"/>
      <c r="W94" s="50">
        <f>SUM(W4:W93)</f>
        <v>214967730.44995868</v>
      </c>
      <c r="X94" s="50">
        <v>182488139.73999953</v>
      </c>
      <c r="Y94" s="50"/>
      <c r="Z94" s="50">
        <f>SUM(Z4:Z93)</f>
        <v>225853404.21614578</v>
      </c>
      <c r="AA94" s="50">
        <v>166469096.28000024</v>
      </c>
      <c r="AB94" s="50"/>
      <c r="AC94" s="50">
        <f>SUM(AC4:AC93)</f>
        <v>207188024.82109892</v>
      </c>
      <c r="AD94" s="170">
        <v>165301490.08000124</v>
      </c>
      <c r="AE94" s="50"/>
      <c r="AF94" s="50">
        <f>SUM(AF4:AF93)</f>
        <v>207211836.58533287</v>
      </c>
      <c r="AG94" s="50">
        <v>155661292.34000006</v>
      </c>
      <c r="AH94" s="50"/>
      <c r="AI94" s="50">
        <f>SUM(AI4:AI93)</f>
        <v>193608078.33880517</v>
      </c>
      <c r="AJ94" s="50">
        <f>SUM(AJ4:AJ93)</f>
        <v>155768704.25428569</v>
      </c>
      <c r="AK94" s="50"/>
      <c r="AL94" s="50">
        <f>SUM(AL4:AL93)</f>
        <v>195200992.337318</v>
      </c>
      <c r="AM94" s="72">
        <f>AJ94+AG94+AD94+AA94+X94+U94+R94+O94+L94+I94+F94+C94</f>
        <v>1761696000.6543236</v>
      </c>
      <c r="AN94" s="83"/>
      <c r="AO94" s="50">
        <f>SUM(AO4:AO93)</f>
        <v>1752368427.8049982</v>
      </c>
      <c r="AP94" s="50">
        <f>SUM(AP4:AP93)</f>
        <v>2200083743.0810862</v>
      </c>
      <c r="AQ94" s="168">
        <v>0.24</v>
      </c>
      <c r="AR94" s="50">
        <f>SUM(AR4:AR93)</f>
        <v>2200010000</v>
      </c>
      <c r="AS94" s="145">
        <f>SUM(AS4:AS93)</f>
        <v>2177432951.5199633</v>
      </c>
      <c r="AT94" s="143"/>
    </row>
    <row r="95" spans="1:63" x14ac:dyDescent="0.3">
      <c r="Z95" s="28"/>
      <c r="AM95" s="111"/>
      <c r="AN95" s="111"/>
      <c r="AO95" s="111"/>
      <c r="AR95" s="149"/>
      <c r="AS95" s="29"/>
    </row>
    <row r="96" spans="1:63" x14ac:dyDescent="0.3">
      <c r="B96" s="52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150"/>
      <c r="AL96" s="28"/>
      <c r="AM96" s="28"/>
      <c r="AN96" s="111"/>
      <c r="AO96" s="111"/>
      <c r="AP96" s="149"/>
      <c r="AR96" s="149"/>
      <c r="AS96" s="29"/>
    </row>
    <row r="97" spans="1:45" x14ac:dyDescent="0.3">
      <c r="B97" s="52"/>
      <c r="D97" s="52"/>
      <c r="E97" s="28"/>
      <c r="F97" s="52"/>
      <c r="G97" s="52"/>
      <c r="H97" s="28"/>
      <c r="I97" s="52"/>
      <c r="J97" s="52"/>
      <c r="K97" s="28"/>
      <c r="L97" s="52"/>
      <c r="M97" s="52"/>
      <c r="N97" s="28"/>
      <c r="O97" s="52"/>
      <c r="P97" s="52"/>
      <c r="Q97" s="28"/>
      <c r="R97" s="52"/>
      <c r="S97" s="52"/>
      <c r="T97" s="28"/>
      <c r="U97" s="52"/>
      <c r="V97" s="52"/>
      <c r="W97" s="28"/>
      <c r="X97" s="52"/>
      <c r="Y97" s="52"/>
      <c r="Z97" s="28"/>
      <c r="AA97" s="52"/>
      <c r="AB97" s="52"/>
      <c r="AC97" s="28"/>
      <c r="AD97" s="52"/>
      <c r="AE97" s="150"/>
      <c r="AF97" s="28"/>
      <c r="AG97" s="52"/>
      <c r="AH97" s="150"/>
      <c r="AI97" s="28"/>
      <c r="AJ97" s="52"/>
      <c r="AK97" s="150"/>
      <c r="AL97" s="28"/>
      <c r="AM97" s="111"/>
      <c r="AN97" s="111"/>
      <c r="AO97" s="111"/>
      <c r="AP97" s="149"/>
      <c r="AR97" s="149"/>
      <c r="AS97" s="29"/>
    </row>
    <row r="98" spans="1:45" ht="15" thickBot="1" x14ac:dyDescent="0.35">
      <c r="B98" s="52"/>
      <c r="D98" s="52"/>
      <c r="E98" s="28"/>
      <c r="F98" s="52"/>
      <c r="G98" s="52"/>
      <c r="H98" s="28"/>
      <c r="I98" s="52"/>
      <c r="J98" s="52"/>
      <c r="K98" s="28"/>
      <c r="L98" s="52"/>
      <c r="M98" s="52"/>
      <c r="N98" s="28"/>
      <c r="O98" s="52"/>
      <c r="P98" s="52"/>
      <c r="Q98" s="28"/>
      <c r="R98" s="52"/>
      <c r="S98" s="52"/>
      <c r="T98" s="28"/>
      <c r="U98" s="52"/>
      <c r="V98" s="52"/>
      <c r="W98" s="28"/>
      <c r="X98" s="52"/>
      <c r="Y98" s="52"/>
      <c r="Z98" s="28"/>
      <c r="AA98" s="52"/>
      <c r="AB98" s="52"/>
      <c r="AC98" s="28"/>
      <c r="AD98" s="52"/>
      <c r="AE98" s="150"/>
      <c r="AF98" s="28"/>
      <c r="AG98" s="52"/>
      <c r="AH98" s="150"/>
      <c r="AI98" s="28"/>
      <c r="AJ98" s="52"/>
      <c r="AK98" s="150"/>
      <c r="AL98" s="28"/>
      <c r="AM98" s="111"/>
      <c r="AN98" s="111"/>
      <c r="AO98" s="111"/>
      <c r="AP98" s="149"/>
      <c r="AR98" s="149"/>
      <c r="AS98" s="29"/>
    </row>
    <row r="99" spans="1:45" ht="47.4" thickBot="1" x14ac:dyDescent="0.35">
      <c r="A99" s="66" t="s">
        <v>0</v>
      </c>
      <c r="B99" s="69" t="s">
        <v>1</v>
      </c>
      <c r="C99" s="19" t="s">
        <v>232</v>
      </c>
      <c r="D99" s="19"/>
      <c r="E99" s="19" t="s">
        <v>209</v>
      </c>
      <c r="F99" s="21" t="s">
        <v>233</v>
      </c>
      <c r="G99" s="21"/>
      <c r="H99" s="21" t="s">
        <v>234</v>
      </c>
      <c r="I99" s="19" t="s">
        <v>235</v>
      </c>
      <c r="J99" s="19"/>
      <c r="K99" s="19" t="s">
        <v>236</v>
      </c>
      <c r="L99" s="21" t="s">
        <v>237</v>
      </c>
      <c r="M99" s="21"/>
      <c r="N99" s="21" t="s">
        <v>238</v>
      </c>
      <c r="O99" s="21" t="s">
        <v>239</v>
      </c>
      <c r="P99" s="21"/>
      <c r="Q99" s="21" t="s">
        <v>240</v>
      </c>
      <c r="R99" s="19" t="s">
        <v>242</v>
      </c>
      <c r="S99" s="19"/>
      <c r="T99" s="19" t="s">
        <v>241</v>
      </c>
      <c r="U99" s="19" t="s">
        <v>243</v>
      </c>
      <c r="V99" s="19"/>
      <c r="W99" s="19" t="s">
        <v>244</v>
      </c>
      <c r="X99" s="19" t="s">
        <v>245</v>
      </c>
      <c r="Y99" s="19"/>
      <c r="Z99" s="19" t="s">
        <v>246</v>
      </c>
      <c r="AA99" s="19" t="s">
        <v>247</v>
      </c>
      <c r="AB99" s="19"/>
      <c r="AC99" s="19" t="s">
        <v>217</v>
      </c>
      <c r="AD99" s="19" t="s">
        <v>248</v>
      </c>
      <c r="AE99" s="19"/>
      <c r="AF99" s="19" t="s">
        <v>249</v>
      </c>
      <c r="AG99" s="19" t="s">
        <v>250</v>
      </c>
      <c r="AH99" s="19"/>
      <c r="AI99" s="19" t="s">
        <v>251</v>
      </c>
      <c r="AJ99" s="19" t="s">
        <v>252</v>
      </c>
      <c r="AK99" s="19"/>
      <c r="AL99" s="19" t="s">
        <v>253</v>
      </c>
      <c r="AM99" s="23" t="s">
        <v>37</v>
      </c>
      <c r="AN99" s="111"/>
      <c r="AO99" s="111"/>
      <c r="AP99" s="149"/>
      <c r="AR99" s="149"/>
      <c r="AS99" s="29"/>
    </row>
    <row r="100" spans="1:45" x14ac:dyDescent="0.3">
      <c r="A100" s="86">
        <v>1</v>
      </c>
      <c r="B100" s="102" t="s">
        <v>188</v>
      </c>
      <c r="C100" s="70">
        <v>1319770</v>
      </c>
      <c r="D100" s="7"/>
      <c r="E100" s="85">
        <v>1319770</v>
      </c>
      <c r="F100" s="70">
        <v>1606298</v>
      </c>
      <c r="G100" s="7"/>
      <c r="H100" s="85">
        <v>1606298</v>
      </c>
      <c r="I100" s="70">
        <v>1116977</v>
      </c>
      <c r="J100" s="7"/>
      <c r="K100" s="85">
        <v>1116977</v>
      </c>
      <c r="L100" s="6">
        <v>2048509.3</v>
      </c>
      <c r="M100" s="7"/>
      <c r="N100" s="85">
        <v>2048509.3</v>
      </c>
      <c r="O100" s="6">
        <v>2217244.12</v>
      </c>
      <c r="P100" s="7"/>
      <c r="Q100" s="85">
        <v>2217244.12</v>
      </c>
      <c r="R100" s="6">
        <v>2223387</v>
      </c>
      <c r="S100" s="7"/>
      <c r="T100" s="85">
        <v>2223387</v>
      </c>
      <c r="U100" s="71">
        <v>2503631</v>
      </c>
      <c r="V100" s="7"/>
      <c r="W100" s="198">
        <v>2400000</v>
      </c>
      <c r="X100" s="71">
        <v>2686709.77999999</v>
      </c>
      <c r="Y100" s="7"/>
      <c r="Z100" s="199">
        <v>2600000</v>
      </c>
      <c r="AA100" s="71">
        <v>2643132</v>
      </c>
      <c r="AB100" s="7"/>
      <c r="AC100" s="199">
        <v>2750000</v>
      </c>
      <c r="AD100" s="51">
        <v>2742692.09</v>
      </c>
      <c r="AE100" s="7"/>
      <c r="AF100" s="199">
        <v>2700000</v>
      </c>
      <c r="AG100" s="154">
        <v>2557652</v>
      </c>
      <c r="AH100" s="7"/>
      <c r="AI100" s="199">
        <v>2550000</v>
      </c>
      <c r="AJ100" s="104"/>
      <c r="AK100" s="7"/>
      <c r="AL100" s="199">
        <v>2650000</v>
      </c>
      <c r="AM100" s="6">
        <v>57976120.149999999</v>
      </c>
      <c r="AN100" s="111"/>
      <c r="AO100" s="111"/>
      <c r="AP100" s="149"/>
      <c r="AR100" s="149"/>
      <c r="AS100" s="29"/>
    </row>
    <row r="101" spans="1:45" x14ac:dyDescent="0.3">
      <c r="A101" s="62">
        <v>2</v>
      </c>
      <c r="B101" s="106" t="s">
        <v>189</v>
      </c>
      <c r="C101" s="70">
        <v>538831.25</v>
      </c>
      <c r="D101" s="7"/>
      <c r="E101" s="85">
        <v>538831.25</v>
      </c>
      <c r="F101" s="70">
        <v>705659.5</v>
      </c>
      <c r="G101" s="7"/>
      <c r="H101" s="85">
        <v>705659.5</v>
      </c>
      <c r="I101" s="70">
        <v>529219</v>
      </c>
      <c r="J101" s="7"/>
      <c r="K101" s="85">
        <v>529219</v>
      </c>
      <c r="L101" s="6">
        <v>848590.05</v>
      </c>
      <c r="M101" s="7"/>
      <c r="N101" s="85">
        <v>848590.05</v>
      </c>
      <c r="O101" s="6">
        <v>1089660.29</v>
      </c>
      <c r="P101" s="7"/>
      <c r="Q101" s="85">
        <v>1089660.29</v>
      </c>
      <c r="R101" s="6">
        <v>1023850.250000001</v>
      </c>
      <c r="S101" s="7"/>
      <c r="T101" s="85">
        <v>1023850.250000001</v>
      </c>
      <c r="U101" s="71">
        <v>1261498.18</v>
      </c>
      <c r="V101" s="7"/>
      <c r="W101" s="198">
        <v>1150000</v>
      </c>
      <c r="X101" s="71">
        <v>1379653.68</v>
      </c>
      <c r="Y101" s="7"/>
      <c r="Z101" s="199">
        <v>1400000</v>
      </c>
      <c r="AA101" s="71">
        <v>1422454.320000001</v>
      </c>
      <c r="AB101" s="7"/>
      <c r="AC101" s="199">
        <v>1450000</v>
      </c>
      <c r="AD101" s="51">
        <v>1457841.6</v>
      </c>
      <c r="AE101" s="7"/>
      <c r="AF101" s="199">
        <v>1500000</v>
      </c>
      <c r="AG101" s="154">
        <v>1360666.0899999999</v>
      </c>
      <c r="AH101" s="7"/>
      <c r="AI101" s="199">
        <v>1450000</v>
      </c>
      <c r="AJ101" s="104"/>
      <c r="AK101" s="7"/>
      <c r="AL101" s="199">
        <v>1375000</v>
      </c>
      <c r="AM101" s="6">
        <v>56802261.899999999</v>
      </c>
      <c r="AN101" s="111"/>
      <c r="AO101" s="111"/>
      <c r="AP101" s="149"/>
      <c r="AR101" s="149"/>
      <c r="AS101" s="29"/>
    </row>
    <row r="102" spans="1:45" x14ac:dyDescent="0.3">
      <c r="A102" s="86">
        <v>3</v>
      </c>
      <c r="B102" s="102" t="s">
        <v>202</v>
      </c>
      <c r="C102" s="70">
        <v>355438</v>
      </c>
      <c r="D102" s="7"/>
      <c r="E102" s="85">
        <v>355438</v>
      </c>
      <c r="F102" s="70">
        <v>720756</v>
      </c>
      <c r="G102" s="7"/>
      <c r="H102" s="85">
        <v>720756</v>
      </c>
      <c r="I102" s="70">
        <v>657481.5</v>
      </c>
      <c r="J102" s="7"/>
      <c r="K102" s="85">
        <v>657481.5</v>
      </c>
      <c r="L102" s="6">
        <v>1098075.1000000001</v>
      </c>
      <c r="M102" s="7"/>
      <c r="N102" s="85">
        <v>1098075.1000000001</v>
      </c>
      <c r="O102" s="6">
        <v>1119419.96</v>
      </c>
      <c r="P102" s="7"/>
      <c r="Q102" s="85">
        <v>1119419.96</v>
      </c>
      <c r="R102" s="6">
        <v>1114752.8400000015</v>
      </c>
      <c r="S102" s="7"/>
      <c r="T102" s="85">
        <v>1114752.8400000015</v>
      </c>
      <c r="U102" s="71">
        <v>1449700.84</v>
      </c>
      <c r="V102" s="7"/>
      <c r="W102" s="198">
        <v>1300000</v>
      </c>
      <c r="X102" s="71">
        <v>1529334.23</v>
      </c>
      <c r="Y102" s="7"/>
      <c r="Z102" s="199">
        <v>1650000</v>
      </c>
      <c r="AA102" s="71">
        <v>1523162.6500000004</v>
      </c>
      <c r="AB102" s="7"/>
      <c r="AC102" s="199">
        <v>1650000</v>
      </c>
      <c r="AD102" s="51">
        <v>1533781.24</v>
      </c>
      <c r="AE102" s="7"/>
      <c r="AF102" s="199">
        <v>1600000</v>
      </c>
      <c r="AG102" s="154">
        <v>1359972</v>
      </c>
      <c r="AH102" s="7"/>
      <c r="AI102" s="199">
        <v>1500000</v>
      </c>
      <c r="AJ102" s="104"/>
      <c r="AK102" s="7"/>
      <c r="AL102" s="199">
        <v>1400000</v>
      </c>
      <c r="AM102" s="6">
        <v>62756271.379999995</v>
      </c>
      <c r="AN102" s="111"/>
      <c r="AO102" s="111"/>
      <c r="AP102" s="149"/>
      <c r="AR102" s="149"/>
      <c r="AS102" s="29"/>
    </row>
    <row r="103" spans="1:45" x14ac:dyDescent="0.3">
      <c r="A103" s="62">
        <v>4</v>
      </c>
      <c r="B103" s="106" t="s">
        <v>190</v>
      </c>
      <c r="C103" s="70">
        <v>228812.5</v>
      </c>
      <c r="D103" s="7"/>
      <c r="E103" s="85">
        <v>228812.5</v>
      </c>
      <c r="F103" s="70">
        <v>578260</v>
      </c>
      <c r="G103" s="7"/>
      <c r="H103" s="85">
        <v>578260</v>
      </c>
      <c r="I103" s="70">
        <v>339232</v>
      </c>
      <c r="J103" s="7"/>
      <c r="K103" s="85">
        <v>339232</v>
      </c>
      <c r="L103" s="6">
        <v>640997.09</v>
      </c>
      <c r="M103" s="7"/>
      <c r="N103" s="85">
        <v>640997.09</v>
      </c>
      <c r="O103" s="6">
        <v>608642.46</v>
      </c>
      <c r="P103" s="7"/>
      <c r="Q103" s="85">
        <v>608642.46</v>
      </c>
      <c r="R103" s="6">
        <v>646271.94999999995</v>
      </c>
      <c r="S103" s="7"/>
      <c r="T103" s="85">
        <v>646271.94999999995</v>
      </c>
      <c r="U103" s="71">
        <v>744312</v>
      </c>
      <c r="V103" s="7"/>
      <c r="W103" s="198">
        <v>750000</v>
      </c>
      <c r="X103" s="71">
        <v>907617.84000000102</v>
      </c>
      <c r="Y103" s="7"/>
      <c r="Z103" s="199">
        <v>900000</v>
      </c>
      <c r="AA103" s="71">
        <v>1026740.25</v>
      </c>
      <c r="AB103" s="7"/>
      <c r="AC103" s="199">
        <v>1000000</v>
      </c>
      <c r="AD103" s="51">
        <v>1066403.45</v>
      </c>
      <c r="AE103" s="7"/>
      <c r="AF103" s="199">
        <v>1100000</v>
      </c>
      <c r="AG103" s="154">
        <v>1124351</v>
      </c>
      <c r="AH103" s="7"/>
      <c r="AI103" s="199">
        <v>950000</v>
      </c>
      <c r="AJ103" s="104"/>
      <c r="AK103" s="7"/>
      <c r="AL103" s="199">
        <v>1100000</v>
      </c>
      <c r="AM103" s="6">
        <v>45531422.829999998</v>
      </c>
      <c r="AN103" s="111"/>
      <c r="AO103" s="111"/>
      <c r="AP103" s="149"/>
      <c r="AR103" s="149"/>
      <c r="AS103" s="29"/>
    </row>
    <row r="104" spans="1:45" x14ac:dyDescent="0.3">
      <c r="A104" s="86">
        <v>5</v>
      </c>
      <c r="B104" s="102" t="s">
        <v>196</v>
      </c>
      <c r="C104" s="70">
        <v>399834.06</v>
      </c>
      <c r="D104" s="7"/>
      <c r="E104" s="85">
        <v>399834.06</v>
      </c>
      <c r="F104" s="70">
        <v>387834.53</v>
      </c>
      <c r="G104" s="7"/>
      <c r="H104" s="85">
        <v>387834.53</v>
      </c>
      <c r="I104" s="70">
        <v>305205</v>
      </c>
      <c r="J104" s="7"/>
      <c r="K104" s="85">
        <v>305205</v>
      </c>
      <c r="L104" s="6">
        <v>444893.39</v>
      </c>
      <c r="M104" s="7"/>
      <c r="N104" s="85">
        <v>444893.39</v>
      </c>
      <c r="O104" s="6">
        <v>438417.33</v>
      </c>
      <c r="P104" s="7"/>
      <c r="Q104" s="85">
        <v>438417.33</v>
      </c>
      <c r="R104" s="6">
        <v>489709.52000000019</v>
      </c>
      <c r="S104" s="7"/>
      <c r="T104" s="85">
        <v>489709.52000000019</v>
      </c>
      <c r="U104" s="71">
        <v>479519.24</v>
      </c>
      <c r="V104" s="7"/>
      <c r="W104" s="198">
        <v>500000</v>
      </c>
      <c r="X104" s="71">
        <v>716204</v>
      </c>
      <c r="Y104" s="7"/>
      <c r="Z104" s="199">
        <v>550000</v>
      </c>
      <c r="AA104" s="71">
        <v>665686</v>
      </c>
      <c r="AB104" s="7"/>
      <c r="AC104" s="199">
        <v>825000</v>
      </c>
      <c r="AD104" s="51">
        <v>666948</v>
      </c>
      <c r="AE104" s="7"/>
      <c r="AF104" s="199">
        <v>750000</v>
      </c>
      <c r="AG104" s="154">
        <v>530893</v>
      </c>
      <c r="AH104" s="7"/>
      <c r="AI104" s="199">
        <v>575000</v>
      </c>
      <c r="AJ104" s="104"/>
      <c r="AK104" s="7"/>
      <c r="AL104" s="199">
        <v>550000</v>
      </c>
      <c r="AM104" s="6">
        <v>26908870.699999999</v>
      </c>
      <c r="AN104" s="111"/>
      <c r="AP104" s="149"/>
      <c r="AR104" s="149"/>
      <c r="AS104" s="29"/>
    </row>
    <row r="105" spans="1:45" x14ac:dyDescent="0.3">
      <c r="A105" s="62">
        <v>6</v>
      </c>
      <c r="B105" s="106" t="s">
        <v>195</v>
      </c>
      <c r="C105" s="70">
        <v>642171</v>
      </c>
      <c r="D105" s="7"/>
      <c r="E105" s="85">
        <v>642171</v>
      </c>
      <c r="F105" s="70">
        <v>605388.5</v>
      </c>
      <c r="G105" s="7"/>
      <c r="H105" s="85">
        <v>605388.5</v>
      </c>
      <c r="I105" s="70">
        <v>403201</v>
      </c>
      <c r="J105" s="7"/>
      <c r="K105" s="85">
        <v>403201</v>
      </c>
      <c r="L105" s="6">
        <v>509971.53</v>
      </c>
      <c r="M105" s="7"/>
      <c r="N105" s="85">
        <v>509971.53</v>
      </c>
      <c r="O105" s="6">
        <v>601508.68000000005</v>
      </c>
      <c r="P105" s="7"/>
      <c r="Q105" s="85">
        <v>601508.68000000005</v>
      </c>
      <c r="R105" s="6">
        <v>564520.72000000114</v>
      </c>
      <c r="S105" s="7"/>
      <c r="T105" s="85">
        <v>564520.72000000114</v>
      </c>
      <c r="U105" s="71">
        <v>542945.56999999995</v>
      </c>
      <c r="V105" s="7"/>
      <c r="W105" s="198">
        <v>575000</v>
      </c>
      <c r="X105" s="71">
        <v>527315.23</v>
      </c>
      <c r="Y105" s="7"/>
      <c r="Z105" s="199">
        <v>600000</v>
      </c>
      <c r="AA105" s="71">
        <v>588530.35000000033</v>
      </c>
      <c r="AB105" s="7"/>
      <c r="AC105" s="199">
        <v>600000</v>
      </c>
      <c r="AD105" s="51">
        <v>677604.23000000103</v>
      </c>
      <c r="AE105" s="7"/>
      <c r="AF105" s="199">
        <v>650000</v>
      </c>
      <c r="AG105" s="154">
        <v>655739</v>
      </c>
      <c r="AH105" s="7"/>
      <c r="AI105" s="199">
        <v>650000</v>
      </c>
      <c r="AJ105" s="104"/>
      <c r="AK105" s="7"/>
      <c r="AL105" s="199">
        <v>700000</v>
      </c>
      <c r="AM105" s="6">
        <v>36289521.379999995</v>
      </c>
      <c r="AN105" s="111"/>
      <c r="AP105" s="149"/>
      <c r="AR105" s="149"/>
      <c r="AS105" s="29"/>
    </row>
    <row r="106" spans="1:45" x14ac:dyDescent="0.3">
      <c r="A106" s="86">
        <v>7</v>
      </c>
      <c r="B106" s="102" t="s">
        <v>198</v>
      </c>
      <c r="C106" s="70"/>
      <c r="D106" s="7"/>
      <c r="E106" s="85"/>
      <c r="F106" s="70"/>
      <c r="G106" s="7"/>
      <c r="H106" s="85"/>
      <c r="I106" s="70"/>
      <c r="J106" s="7"/>
      <c r="K106" s="85"/>
      <c r="L106" s="6"/>
      <c r="M106" s="7"/>
      <c r="N106" s="85"/>
      <c r="O106" s="6">
        <v>78228</v>
      </c>
      <c r="P106" s="7"/>
      <c r="Q106" s="85">
        <v>78228</v>
      </c>
      <c r="R106" s="6">
        <v>846010</v>
      </c>
      <c r="S106" s="7"/>
      <c r="T106" s="85">
        <v>846010</v>
      </c>
      <c r="U106" s="71">
        <v>893702.5</v>
      </c>
      <c r="V106" s="7"/>
      <c r="W106" s="85">
        <v>893702.5</v>
      </c>
      <c r="X106" s="71">
        <v>957750.06</v>
      </c>
      <c r="Y106" s="7"/>
      <c r="Z106" s="85">
        <v>957750.06</v>
      </c>
      <c r="AA106" s="71">
        <v>1063491.03</v>
      </c>
      <c r="AB106" s="7"/>
      <c r="AC106" s="85">
        <v>1000000</v>
      </c>
      <c r="AD106" s="51">
        <v>1191090.0900000001</v>
      </c>
      <c r="AE106" s="7"/>
      <c r="AF106" s="85">
        <v>1200000</v>
      </c>
      <c r="AG106" s="154">
        <v>1133942</v>
      </c>
      <c r="AH106" s="7"/>
      <c r="AI106" s="85">
        <v>1133942</v>
      </c>
      <c r="AJ106" s="104"/>
      <c r="AK106" s="7"/>
      <c r="AL106" s="85">
        <v>1200000</v>
      </c>
      <c r="AM106" s="6">
        <v>8613875.4000000004</v>
      </c>
      <c r="AN106" s="111"/>
      <c r="AP106" s="149"/>
      <c r="AR106" s="149"/>
      <c r="AS106" s="29"/>
    </row>
    <row r="107" spans="1:45" x14ac:dyDescent="0.3">
      <c r="A107" s="62">
        <v>8</v>
      </c>
      <c r="B107" s="106" t="s">
        <v>197</v>
      </c>
      <c r="C107" s="70"/>
      <c r="D107" s="7"/>
      <c r="E107" s="85"/>
      <c r="F107" s="70"/>
      <c r="G107" s="7"/>
      <c r="H107" s="85"/>
      <c r="I107" s="70"/>
      <c r="J107" s="7"/>
      <c r="K107" s="85"/>
      <c r="L107" s="6"/>
      <c r="M107" s="7"/>
      <c r="N107" s="85"/>
      <c r="O107" s="6">
        <v>32015</v>
      </c>
      <c r="P107" s="7"/>
      <c r="Q107" s="85">
        <v>32015</v>
      </c>
      <c r="R107" s="6">
        <v>826303</v>
      </c>
      <c r="S107" s="7"/>
      <c r="T107" s="85">
        <v>826303</v>
      </c>
      <c r="U107" s="71">
        <v>1053229</v>
      </c>
      <c r="V107" s="7"/>
      <c r="W107" s="85">
        <v>1053229</v>
      </c>
      <c r="X107" s="71">
        <v>1097442.83</v>
      </c>
      <c r="Y107" s="7"/>
      <c r="Z107" s="85">
        <v>1097442.83</v>
      </c>
      <c r="AA107" s="71">
        <v>1110153</v>
      </c>
      <c r="AB107" s="7"/>
      <c r="AC107" s="85">
        <v>1200000</v>
      </c>
      <c r="AD107" s="51">
        <v>1081508.76</v>
      </c>
      <c r="AE107" s="7"/>
      <c r="AF107" s="85">
        <v>1200000</v>
      </c>
      <c r="AG107" s="154">
        <v>969670</v>
      </c>
      <c r="AH107" s="7"/>
      <c r="AI107" s="85">
        <v>969670</v>
      </c>
      <c r="AJ107" s="104"/>
      <c r="AK107" s="7"/>
      <c r="AL107" s="85">
        <v>1000000</v>
      </c>
      <c r="AM107" s="6">
        <v>17802988.93</v>
      </c>
      <c r="AN107" s="111"/>
      <c r="AP107" s="149"/>
      <c r="AR107" s="149"/>
      <c r="AS107" s="29"/>
    </row>
    <row r="108" spans="1:45" x14ac:dyDescent="0.3">
      <c r="A108" s="86">
        <v>9</v>
      </c>
      <c r="B108" s="102" t="s">
        <v>199</v>
      </c>
      <c r="C108" s="70"/>
      <c r="D108" s="7"/>
      <c r="E108" s="85"/>
      <c r="F108" s="70"/>
      <c r="G108" s="7"/>
      <c r="H108" s="85"/>
      <c r="I108" s="70"/>
      <c r="J108" s="7"/>
      <c r="K108" s="85"/>
      <c r="L108" s="6"/>
      <c r="M108" s="7"/>
      <c r="N108" s="85"/>
      <c r="O108" s="6"/>
      <c r="P108" s="7"/>
      <c r="Q108" s="85"/>
      <c r="R108" s="6">
        <v>404804</v>
      </c>
      <c r="S108" s="7"/>
      <c r="T108" s="85">
        <v>404804</v>
      </c>
      <c r="U108" s="71">
        <v>2762857</v>
      </c>
      <c r="V108" s="7"/>
      <c r="W108" s="85">
        <v>2762857</v>
      </c>
      <c r="X108" s="71">
        <v>3622889.15</v>
      </c>
      <c r="Y108" s="7"/>
      <c r="Z108" s="85">
        <v>3622889.15</v>
      </c>
      <c r="AA108" s="71">
        <v>1388355.07</v>
      </c>
      <c r="AB108" s="7"/>
      <c r="AC108" s="85">
        <v>1800000</v>
      </c>
      <c r="AD108" s="51">
        <v>420702</v>
      </c>
      <c r="AE108" s="7"/>
      <c r="AF108" s="85">
        <v>450000</v>
      </c>
      <c r="AG108" s="154">
        <v>292031</v>
      </c>
      <c r="AH108" s="7"/>
      <c r="AI108" s="85">
        <v>292031</v>
      </c>
      <c r="AJ108" s="104"/>
      <c r="AK108" s="7"/>
      <c r="AL108" s="85">
        <v>250000</v>
      </c>
      <c r="AM108" s="6">
        <v>23097151.900000002</v>
      </c>
      <c r="AN108" s="111"/>
      <c r="AP108" s="149"/>
      <c r="AR108" s="149"/>
      <c r="AS108" s="29"/>
    </row>
    <row r="109" spans="1:45" x14ac:dyDescent="0.3">
      <c r="A109" s="62">
        <v>10</v>
      </c>
      <c r="B109" s="106" t="s">
        <v>200</v>
      </c>
      <c r="C109" s="70"/>
      <c r="D109" s="7"/>
      <c r="E109" s="85"/>
      <c r="F109" s="70"/>
      <c r="G109" s="7"/>
      <c r="H109" s="85"/>
      <c r="I109" s="70"/>
      <c r="J109" s="7"/>
      <c r="K109" s="85"/>
      <c r="L109" s="6"/>
      <c r="M109" s="7"/>
      <c r="N109" s="85"/>
      <c r="O109" s="6"/>
      <c r="P109" s="7"/>
      <c r="Q109" s="85"/>
      <c r="R109" s="6"/>
      <c r="S109" s="7"/>
      <c r="T109" s="85"/>
      <c r="U109" s="71">
        <v>117346</v>
      </c>
      <c r="V109" s="7"/>
      <c r="W109" s="85">
        <v>117346</v>
      </c>
      <c r="X109" s="71">
        <v>170953</v>
      </c>
      <c r="Y109" s="7"/>
      <c r="Z109" s="85">
        <v>170953</v>
      </c>
      <c r="AA109" s="71">
        <v>25285</v>
      </c>
      <c r="AB109" s="7"/>
      <c r="AC109" s="85">
        <v>25285</v>
      </c>
      <c r="AD109" s="51">
        <v>0</v>
      </c>
      <c r="AE109" s="7"/>
      <c r="AF109" s="85">
        <v>0</v>
      </c>
      <c r="AG109" s="154"/>
      <c r="AH109" s="7"/>
      <c r="AI109" s="85">
        <v>0</v>
      </c>
      <c r="AJ109" s="104"/>
      <c r="AK109" s="7"/>
      <c r="AL109" s="85"/>
      <c r="AM109" s="6">
        <v>10101156.68</v>
      </c>
      <c r="AN109" s="111"/>
      <c r="AP109" s="149"/>
      <c r="AR109" s="149"/>
      <c r="AS109" s="29"/>
    </row>
    <row r="110" spans="1:45" x14ac:dyDescent="0.3">
      <c r="A110" s="86">
        <v>11</v>
      </c>
      <c r="B110" s="102" t="s">
        <v>201</v>
      </c>
      <c r="C110" s="70"/>
      <c r="D110" s="7"/>
      <c r="E110" s="85"/>
      <c r="F110" s="70"/>
      <c r="G110" s="7"/>
      <c r="H110" s="85"/>
      <c r="I110" s="70"/>
      <c r="J110" s="7"/>
      <c r="K110" s="85"/>
      <c r="L110" s="6"/>
      <c r="M110" s="7"/>
      <c r="N110" s="85"/>
      <c r="O110" s="6"/>
      <c r="P110" s="7"/>
      <c r="Q110" s="85"/>
      <c r="R110" s="6"/>
      <c r="S110" s="7"/>
      <c r="T110" s="85"/>
      <c r="U110" s="71">
        <v>113312</v>
      </c>
      <c r="V110" s="7"/>
      <c r="W110" s="85">
        <v>113312</v>
      </c>
      <c r="X110" s="71">
        <v>699084</v>
      </c>
      <c r="Y110" s="7"/>
      <c r="Z110" s="85">
        <v>699084</v>
      </c>
      <c r="AA110" s="71">
        <v>779351</v>
      </c>
      <c r="AB110" s="7"/>
      <c r="AC110" s="85">
        <v>800000</v>
      </c>
      <c r="AD110" s="51">
        <v>785299.2</v>
      </c>
      <c r="AE110" s="7"/>
      <c r="AF110" s="85">
        <v>800000</v>
      </c>
      <c r="AG110" s="154">
        <v>732208</v>
      </c>
      <c r="AH110" s="7"/>
      <c r="AI110" s="85">
        <v>732208</v>
      </c>
      <c r="AJ110" s="104"/>
      <c r="AK110" s="7"/>
      <c r="AL110" s="85">
        <v>800000</v>
      </c>
      <c r="AM110" s="6">
        <v>13154356.15</v>
      </c>
      <c r="AN110" s="111"/>
      <c r="AP110" s="149"/>
      <c r="AR110" s="149"/>
      <c r="AS110" s="29"/>
    </row>
    <row r="111" spans="1:45" x14ac:dyDescent="0.3">
      <c r="A111" s="62">
        <v>12</v>
      </c>
      <c r="B111" s="106" t="s">
        <v>203</v>
      </c>
      <c r="C111" s="70"/>
      <c r="D111" s="7"/>
      <c r="E111" s="85"/>
      <c r="F111" s="70"/>
      <c r="G111" s="7"/>
      <c r="H111" s="85"/>
      <c r="I111" s="70"/>
      <c r="J111" s="7"/>
      <c r="K111" s="85"/>
      <c r="L111" s="6"/>
      <c r="M111" s="7"/>
      <c r="N111" s="85"/>
      <c r="O111" s="6"/>
      <c r="P111" s="7"/>
      <c r="Q111" s="85"/>
      <c r="R111" s="6"/>
      <c r="S111" s="7"/>
      <c r="T111" s="85"/>
      <c r="U111" s="71"/>
      <c r="V111" s="7"/>
      <c r="W111" s="85"/>
      <c r="X111" s="71"/>
      <c r="Y111" s="7"/>
      <c r="Z111" s="85"/>
      <c r="AA111" s="71"/>
      <c r="AB111" s="7"/>
      <c r="AC111" s="85"/>
      <c r="AD111" s="51">
        <v>315372.12</v>
      </c>
      <c r="AE111" s="7"/>
      <c r="AF111" s="85">
        <v>315372.12</v>
      </c>
      <c r="AG111" s="154">
        <v>340378</v>
      </c>
      <c r="AH111" s="7"/>
      <c r="AI111" s="85">
        <v>340378</v>
      </c>
      <c r="AJ111" s="104"/>
      <c r="AK111" s="7"/>
      <c r="AL111" s="85">
        <v>300000</v>
      </c>
      <c r="AM111" s="6">
        <v>34974315.869999997</v>
      </c>
      <c r="AN111" s="111"/>
      <c r="AP111" s="149"/>
      <c r="AR111" s="149"/>
      <c r="AS111" s="29"/>
    </row>
    <row r="112" spans="1:45" x14ac:dyDescent="0.3">
      <c r="A112" s="86">
        <v>13</v>
      </c>
      <c r="B112" s="89" t="s">
        <v>204</v>
      </c>
      <c r="C112" s="70"/>
      <c r="D112" s="7"/>
      <c r="E112" s="85"/>
      <c r="F112" s="70"/>
      <c r="G112" s="7"/>
      <c r="H112" s="85"/>
      <c r="I112" s="70"/>
      <c r="J112" s="7"/>
      <c r="K112" s="85"/>
      <c r="L112" s="6"/>
      <c r="M112" s="7"/>
      <c r="N112" s="85"/>
      <c r="O112" s="6"/>
      <c r="P112" s="7"/>
      <c r="Q112" s="85"/>
      <c r="R112" s="6"/>
      <c r="S112" s="7"/>
      <c r="T112" s="85"/>
      <c r="U112" s="71"/>
      <c r="V112" s="7"/>
      <c r="W112" s="85"/>
      <c r="X112" s="71"/>
      <c r="Y112" s="7"/>
      <c r="Z112" s="85"/>
      <c r="AA112" s="71"/>
      <c r="AB112" s="7"/>
      <c r="AC112" s="85"/>
      <c r="AD112" s="51">
        <v>10769</v>
      </c>
      <c r="AE112" s="7"/>
      <c r="AF112" s="85">
        <v>10769</v>
      </c>
      <c r="AG112" s="154">
        <v>142416</v>
      </c>
      <c r="AH112" s="7"/>
      <c r="AI112" s="85">
        <v>142416</v>
      </c>
      <c r="AJ112" s="104"/>
      <c r="AK112" s="7"/>
      <c r="AL112" s="85">
        <v>150000</v>
      </c>
      <c r="AM112" s="6">
        <v>40651362.829999998</v>
      </c>
      <c r="AN112" s="111"/>
      <c r="AP112" s="149"/>
      <c r="AR112" s="149"/>
      <c r="AS112" s="29"/>
    </row>
    <row r="113" spans="1:45" x14ac:dyDescent="0.3">
      <c r="A113" s="62">
        <v>14</v>
      </c>
      <c r="B113" s="90" t="s">
        <v>205</v>
      </c>
      <c r="C113" s="70"/>
      <c r="D113" s="7"/>
      <c r="E113" s="85"/>
      <c r="F113" s="70"/>
      <c r="G113" s="7"/>
      <c r="H113" s="85"/>
      <c r="I113" s="70"/>
      <c r="J113" s="7"/>
      <c r="K113" s="85"/>
      <c r="L113" s="6"/>
      <c r="M113" s="7"/>
      <c r="N113" s="85"/>
      <c r="O113" s="6"/>
      <c r="P113" s="7"/>
      <c r="Q113" s="85"/>
      <c r="R113" s="6"/>
      <c r="S113" s="7"/>
      <c r="T113" s="85"/>
      <c r="U113" s="71"/>
      <c r="V113" s="7"/>
      <c r="W113" s="85"/>
      <c r="X113" s="71"/>
      <c r="Y113" s="7"/>
      <c r="Z113" s="85"/>
      <c r="AA113" s="71"/>
      <c r="AB113" s="7"/>
      <c r="AC113" s="85"/>
      <c r="AD113" s="51"/>
      <c r="AE113" s="7"/>
      <c r="AF113" s="85"/>
      <c r="AG113" s="154"/>
      <c r="AH113" s="7"/>
      <c r="AI113" s="85"/>
      <c r="AJ113" s="104"/>
      <c r="AK113" s="7"/>
      <c r="AL113" s="85">
        <v>1000000</v>
      </c>
      <c r="AM113" s="6">
        <v>16674576.899999999</v>
      </c>
      <c r="AN113" s="111"/>
      <c r="AP113" s="149"/>
      <c r="AR113" s="149"/>
      <c r="AS113" s="29"/>
    </row>
    <row r="114" spans="1:45" x14ac:dyDescent="0.3">
      <c r="A114" s="86">
        <v>15</v>
      </c>
      <c r="B114" s="89" t="s">
        <v>206</v>
      </c>
      <c r="C114" s="70"/>
      <c r="D114" s="7"/>
      <c r="E114" s="85"/>
      <c r="F114" s="70"/>
      <c r="G114" s="7"/>
      <c r="H114" s="85"/>
      <c r="I114" s="70"/>
      <c r="J114" s="7"/>
      <c r="K114" s="85"/>
      <c r="L114" s="6"/>
      <c r="M114" s="7"/>
      <c r="N114" s="85"/>
      <c r="O114" s="6"/>
      <c r="P114" s="7"/>
      <c r="Q114" s="85"/>
      <c r="R114" s="6"/>
      <c r="S114" s="7"/>
      <c r="T114" s="85"/>
      <c r="U114" s="71"/>
      <c r="V114" s="7"/>
      <c r="W114" s="85"/>
      <c r="X114" s="71"/>
      <c r="Y114" s="7"/>
      <c r="Z114" s="85"/>
      <c r="AA114" s="71"/>
      <c r="AB114" s="7"/>
      <c r="AC114" s="85"/>
      <c r="AD114" s="51"/>
      <c r="AE114" s="7"/>
      <c r="AF114" s="85"/>
      <c r="AG114" s="154">
        <v>855137</v>
      </c>
      <c r="AH114" s="7"/>
      <c r="AI114" s="85">
        <v>855137</v>
      </c>
      <c r="AJ114" s="104"/>
      <c r="AK114" s="7"/>
      <c r="AL114" s="85">
        <v>1000000</v>
      </c>
      <c r="AM114" s="6">
        <v>9474249.7100000009</v>
      </c>
      <c r="AN114" s="111"/>
      <c r="AP114" s="149"/>
      <c r="AR114" s="149"/>
      <c r="AS114" s="29"/>
    </row>
    <row r="115" spans="1:45" x14ac:dyDescent="0.3">
      <c r="A115" s="62">
        <v>16</v>
      </c>
      <c r="B115" s="200" t="s">
        <v>207</v>
      </c>
      <c r="C115" s="70"/>
      <c r="D115" s="7"/>
      <c r="E115" s="85"/>
      <c r="F115" s="70"/>
      <c r="G115" s="7"/>
      <c r="H115" s="85"/>
      <c r="I115" s="70"/>
      <c r="J115" s="7"/>
      <c r="K115" s="85"/>
      <c r="L115" s="6"/>
      <c r="M115" s="7"/>
      <c r="N115" s="85"/>
      <c r="O115" s="6"/>
      <c r="P115" s="7"/>
      <c r="Q115" s="85"/>
      <c r="R115" s="6"/>
      <c r="S115" s="7"/>
      <c r="T115" s="85"/>
      <c r="U115" s="71"/>
      <c r="V115" s="7"/>
      <c r="W115" s="85"/>
      <c r="X115" s="71"/>
      <c r="Y115" s="7"/>
      <c r="Z115" s="85"/>
      <c r="AA115" s="71"/>
      <c r="AB115" s="7"/>
      <c r="AC115" s="85"/>
      <c r="AD115" s="51"/>
      <c r="AE115" s="7"/>
      <c r="AF115" s="85"/>
      <c r="AG115" s="154"/>
      <c r="AH115" s="7"/>
      <c r="AI115" s="85"/>
      <c r="AJ115" s="104"/>
      <c r="AK115" s="7"/>
      <c r="AL115" s="85"/>
      <c r="AM115" s="6">
        <v>12021729.096000003</v>
      </c>
      <c r="AN115" s="111"/>
      <c r="AP115" s="149"/>
      <c r="AR115" s="149"/>
      <c r="AS115" s="29"/>
    </row>
    <row r="116" spans="1:45" x14ac:dyDescent="0.3">
      <c r="A116" s="86">
        <v>17</v>
      </c>
      <c r="B116" s="89" t="s">
        <v>208</v>
      </c>
      <c r="C116" s="70"/>
      <c r="D116" s="7"/>
      <c r="E116" s="85"/>
      <c r="F116" s="70"/>
      <c r="G116" s="7"/>
      <c r="H116" s="85"/>
      <c r="I116" s="70"/>
      <c r="J116" s="7"/>
      <c r="K116" s="85"/>
      <c r="L116" s="70"/>
      <c r="M116" s="7"/>
      <c r="N116" s="85"/>
      <c r="O116" s="6"/>
      <c r="P116" s="7"/>
      <c r="Q116" s="85"/>
      <c r="R116" s="6"/>
      <c r="S116" s="7"/>
      <c r="T116" s="85"/>
      <c r="U116" s="71"/>
      <c r="V116" s="7"/>
      <c r="W116" s="85"/>
      <c r="X116" s="71"/>
      <c r="Y116" s="7"/>
      <c r="Z116" s="85"/>
      <c r="AA116" s="71"/>
      <c r="AB116" s="7"/>
      <c r="AC116" s="85"/>
      <c r="AD116" s="51"/>
      <c r="AE116" s="7"/>
      <c r="AF116" s="85"/>
      <c r="AG116" s="154"/>
      <c r="AH116" s="7"/>
      <c r="AI116" s="85"/>
      <c r="AJ116" s="104"/>
      <c r="AK116" s="7"/>
      <c r="AL116" s="85"/>
      <c r="AM116" s="6">
        <v>12794637.653999999</v>
      </c>
      <c r="AN116" s="111"/>
      <c r="AP116" s="149"/>
      <c r="AR116" s="149"/>
      <c r="AS116" s="29"/>
    </row>
    <row r="117" spans="1:45" x14ac:dyDescent="0.3">
      <c r="A117" s="62">
        <v>18</v>
      </c>
      <c r="B117" s="106"/>
      <c r="C117" s="70"/>
      <c r="D117" s="7"/>
      <c r="E117" s="85"/>
      <c r="F117" s="70"/>
      <c r="G117" s="7"/>
      <c r="H117" s="85"/>
      <c r="I117" s="70"/>
      <c r="J117" s="7"/>
      <c r="K117" s="85"/>
      <c r="L117" s="70"/>
      <c r="M117" s="7"/>
      <c r="N117" s="85"/>
      <c r="O117" s="70"/>
      <c r="P117" s="7"/>
      <c r="Q117" s="85"/>
      <c r="R117" s="70"/>
      <c r="S117" s="7"/>
      <c r="T117" s="85"/>
      <c r="U117" s="71"/>
      <c r="V117" s="7"/>
      <c r="W117" s="85"/>
      <c r="X117" s="71"/>
      <c r="Y117" s="7"/>
      <c r="Z117" s="85"/>
      <c r="AA117" s="71"/>
      <c r="AB117" s="7"/>
      <c r="AC117" s="85"/>
      <c r="AD117" s="51"/>
      <c r="AE117" s="7"/>
      <c r="AF117" s="85"/>
      <c r="AG117" s="154"/>
      <c r="AH117" s="7"/>
      <c r="AI117" s="85"/>
      <c r="AJ117" s="104"/>
      <c r="AK117" s="7"/>
      <c r="AL117" s="85"/>
      <c r="AM117" s="6">
        <v>10087168.800000001</v>
      </c>
      <c r="AN117" s="111"/>
      <c r="AP117" s="149"/>
      <c r="AR117" s="149"/>
      <c r="AS117" s="29"/>
    </row>
    <row r="118" spans="1:45" x14ac:dyDescent="0.3">
      <c r="A118" s="86">
        <v>19</v>
      </c>
      <c r="B118" s="89"/>
      <c r="C118" s="70"/>
      <c r="D118" s="7"/>
      <c r="E118" s="85"/>
      <c r="F118" s="70"/>
      <c r="G118" s="7"/>
      <c r="H118" s="85"/>
      <c r="I118" s="70"/>
      <c r="J118" s="7"/>
      <c r="K118" s="85"/>
      <c r="L118" s="6"/>
      <c r="M118" s="7"/>
      <c r="N118" s="85"/>
      <c r="O118" s="6"/>
      <c r="P118" s="7"/>
      <c r="Q118" s="85"/>
      <c r="R118" s="6"/>
      <c r="S118" s="7"/>
      <c r="T118" s="85"/>
      <c r="U118" s="71"/>
      <c r="V118" s="7"/>
      <c r="W118" s="85"/>
      <c r="X118" s="71"/>
      <c r="Y118" s="7"/>
      <c r="Z118" s="85"/>
      <c r="AA118" s="71"/>
      <c r="AB118" s="7"/>
      <c r="AC118" s="85"/>
      <c r="AD118" s="51"/>
      <c r="AE118" s="7"/>
      <c r="AF118" s="85"/>
      <c r="AG118" s="154"/>
      <c r="AH118" s="7"/>
      <c r="AI118" s="85"/>
      <c r="AJ118" s="104"/>
      <c r="AK118" s="7"/>
      <c r="AL118" s="85"/>
      <c r="AM118" s="6">
        <v>14865994.5</v>
      </c>
      <c r="AN118" s="111"/>
      <c r="AP118" s="149"/>
      <c r="AR118" s="149"/>
      <c r="AS118" s="29"/>
    </row>
    <row r="119" spans="1:45" x14ac:dyDescent="0.3">
      <c r="A119" s="62">
        <v>20</v>
      </c>
      <c r="B119" s="90"/>
      <c r="C119" s="70"/>
      <c r="D119" s="7"/>
      <c r="E119" s="85"/>
      <c r="F119" s="70"/>
      <c r="G119" s="7"/>
      <c r="H119" s="85"/>
      <c r="I119" s="70"/>
      <c r="J119" s="7"/>
      <c r="K119" s="85"/>
      <c r="L119" s="6"/>
      <c r="M119" s="7"/>
      <c r="N119" s="85"/>
      <c r="O119" s="6"/>
      <c r="P119" s="7"/>
      <c r="Q119" s="85"/>
      <c r="R119" s="6"/>
      <c r="S119" s="7"/>
      <c r="T119" s="85"/>
      <c r="U119" s="71"/>
      <c r="V119" s="7"/>
      <c r="W119" s="85"/>
      <c r="X119" s="71"/>
      <c r="Y119" s="7"/>
      <c r="Z119" s="85"/>
      <c r="AA119" s="71"/>
      <c r="AB119" s="7"/>
      <c r="AC119" s="85"/>
      <c r="AD119" s="51"/>
      <c r="AE119" s="7"/>
      <c r="AF119" s="85"/>
      <c r="AG119" s="154"/>
      <c r="AH119" s="7"/>
      <c r="AI119" s="85"/>
      <c r="AJ119" s="104"/>
      <c r="AK119" s="7"/>
      <c r="AL119" s="85"/>
      <c r="AM119" s="6">
        <v>5816492.4000000004</v>
      </c>
      <c r="AN119" s="111"/>
      <c r="AP119" s="149"/>
      <c r="AR119" s="149"/>
      <c r="AS119" s="29"/>
    </row>
    <row r="120" spans="1:45" x14ac:dyDescent="0.3">
      <c r="A120" s="86">
        <v>21</v>
      </c>
      <c r="B120" s="89"/>
      <c r="C120" s="70"/>
      <c r="D120" s="7"/>
      <c r="E120" s="85"/>
      <c r="F120" s="70"/>
      <c r="G120" s="7"/>
      <c r="H120" s="85"/>
      <c r="I120" s="70"/>
      <c r="J120" s="7"/>
      <c r="K120" s="85"/>
      <c r="L120" s="6"/>
      <c r="M120" s="7"/>
      <c r="N120" s="85"/>
      <c r="O120" s="6"/>
      <c r="P120" s="7"/>
      <c r="Q120" s="85"/>
      <c r="R120" s="6"/>
      <c r="S120" s="7"/>
      <c r="T120" s="85"/>
      <c r="U120" s="71"/>
      <c r="V120" s="7"/>
      <c r="W120" s="85"/>
      <c r="X120" s="71"/>
      <c r="Y120" s="7"/>
      <c r="Z120" s="85"/>
      <c r="AA120" s="71"/>
      <c r="AB120" s="7"/>
      <c r="AC120" s="85"/>
      <c r="AD120" s="51"/>
      <c r="AE120" s="7"/>
      <c r="AF120" s="85"/>
      <c r="AG120" s="154"/>
      <c r="AH120" s="7"/>
      <c r="AI120" s="85"/>
      <c r="AJ120" s="104"/>
      <c r="AK120" s="7"/>
      <c r="AL120" s="85"/>
      <c r="AM120" s="6">
        <v>10027011.75</v>
      </c>
      <c r="AN120" s="111"/>
      <c r="AP120" s="149"/>
      <c r="AR120" s="149"/>
      <c r="AS120" s="29"/>
    </row>
    <row r="121" spans="1:45" x14ac:dyDescent="0.3">
      <c r="A121" s="62">
        <v>22</v>
      </c>
      <c r="B121" s="90"/>
      <c r="C121" s="70"/>
      <c r="D121" s="7"/>
      <c r="E121" s="85"/>
      <c r="F121" s="70"/>
      <c r="G121" s="7"/>
      <c r="H121" s="85"/>
      <c r="I121" s="70"/>
      <c r="J121" s="7"/>
      <c r="K121" s="85"/>
      <c r="L121" s="6"/>
      <c r="M121" s="7"/>
      <c r="N121" s="85"/>
      <c r="O121" s="6"/>
      <c r="P121" s="7"/>
      <c r="Q121" s="85"/>
      <c r="R121" s="6"/>
      <c r="S121" s="7"/>
      <c r="T121" s="85"/>
      <c r="U121" s="71"/>
      <c r="V121" s="7"/>
      <c r="W121" s="85"/>
      <c r="X121" s="71"/>
      <c r="Y121" s="7"/>
      <c r="Z121" s="85"/>
      <c r="AA121" s="71"/>
      <c r="AB121" s="7"/>
      <c r="AC121" s="85"/>
      <c r="AD121" s="51"/>
      <c r="AE121" s="7"/>
      <c r="AF121" s="85"/>
      <c r="AG121" s="154"/>
      <c r="AH121" s="7"/>
      <c r="AI121" s="85"/>
      <c r="AJ121" s="104"/>
      <c r="AK121" s="7"/>
      <c r="AL121" s="85"/>
      <c r="AM121" s="6">
        <v>7813913.5000000009</v>
      </c>
      <c r="AN121" s="111"/>
      <c r="AP121" s="149"/>
      <c r="AR121" s="149"/>
      <c r="AS121" s="29"/>
    </row>
    <row r="122" spans="1:45" x14ac:dyDescent="0.3">
      <c r="A122" s="86">
        <v>23</v>
      </c>
      <c r="B122" s="89"/>
      <c r="C122" s="70"/>
      <c r="D122" s="7"/>
      <c r="E122" s="85"/>
      <c r="F122" s="70"/>
      <c r="G122" s="7"/>
      <c r="H122" s="85"/>
      <c r="I122" s="70"/>
      <c r="J122" s="7"/>
      <c r="K122" s="85"/>
      <c r="L122" s="6"/>
      <c r="M122" s="7"/>
      <c r="N122" s="85"/>
      <c r="O122" s="6"/>
      <c r="P122" s="7"/>
      <c r="Q122" s="85"/>
      <c r="R122" s="6"/>
      <c r="S122" s="7"/>
      <c r="T122" s="85"/>
      <c r="U122" s="71"/>
      <c r="V122" s="7"/>
      <c r="W122" s="85"/>
      <c r="X122" s="71"/>
      <c r="Y122" s="7"/>
      <c r="Z122" s="85"/>
      <c r="AA122" s="71"/>
      <c r="AB122" s="7"/>
      <c r="AC122" s="85"/>
      <c r="AD122" s="51"/>
      <c r="AE122" s="7"/>
      <c r="AF122" s="85"/>
      <c r="AG122" s="154"/>
      <c r="AH122" s="7"/>
      <c r="AI122" s="85"/>
      <c r="AJ122" s="104"/>
      <c r="AK122" s="7"/>
      <c r="AL122" s="85"/>
      <c r="AM122" s="6">
        <v>11122046.800000001</v>
      </c>
      <c r="AN122" s="111"/>
      <c r="AP122" s="149"/>
      <c r="AR122" s="149"/>
      <c r="AS122" s="29"/>
    </row>
    <row r="123" spans="1:45" x14ac:dyDescent="0.3">
      <c r="A123" s="62">
        <v>24</v>
      </c>
      <c r="B123" s="90"/>
      <c r="C123" s="70"/>
      <c r="D123" s="7"/>
      <c r="E123" s="85"/>
      <c r="F123" s="70"/>
      <c r="G123" s="7"/>
      <c r="H123" s="85"/>
      <c r="I123" s="70"/>
      <c r="J123" s="7"/>
      <c r="K123" s="85"/>
      <c r="L123" s="6"/>
      <c r="M123" s="7"/>
      <c r="N123" s="85"/>
      <c r="O123" s="6"/>
      <c r="P123" s="7"/>
      <c r="Q123" s="85"/>
      <c r="R123" s="6"/>
      <c r="S123" s="7"/>
      <c r="T123" s="85"/>
      <c r="U123" s="71"/>
      <c r="V123" s="7"/>
      <c r="W123" s="85"/>
      <c r="X123" s="71"/>
      <c r="Y123" s="7"/>
      <c r="Z123" s="85"/>
      <c r="AA123" s="71"/>
      <c r="AB123" s="7"/>
      <c r="AC123" s="85"/>
      <c r="AD123" s="51"/>
      <c r="AE123" s="7"/>
      <c r="AF123" s="85"/>
      <c r="AG123" s="154"/>
      <c r="AH123" s="7"/>
      <c r="AI123" s="85"/>
      <c r="AJ123" s="104"/>
      <c r="AK123" s="7"/>
      <c r="AL123" s="85"/>
      <c r="AM123" s="6">
        <v>13967441.02</v>
      </c>
      <c r="AN123" s="111"/>
      <c r="AP123" s="149"/>
      <c r="AR123" s="149"/>
      <c r="AS123" s="29"/>
    </row>
    <row r="124" spans="1:45" ht="15" thickBot="1" x14ac:dyDescent="0.35">
      <c r="A124" s="86">
        <v>25</v>
      </c>
      <c r="B124" s="89"/>
      <c r="C124" s="70"/>
      <c r="D124" s="7"/>
      <c r="E124" s="85"/>
      <c r="F124" s="70"/>
      <c r="G124" s="7"/>
      <c r="H124" s="85"/>
      <c r="I124" s="70"/>
      <c r="J124" s="7"/>
      <c r="K124" s="85"/>
      <c r="L124" s="6"/>
      <c r="M124" s="7"/>
      <c r="N124" s="85"/>
      <c r="O124" s="6"/>
      <c r="P124" s="7"/>
      <c r="Q124" s="85"/>
      <c r="R124" s="6"/>
      <c r="S124" s="7"/>
      <c r="T124" s="85"/>
      <c r="U124" s="71"/>
      <c r="V124" s="7"/>
      <c r="W124" s="85"/>
      <c r="X124" s="71"/>
      <c r="Y124" s="7"/>
      <c r="Z124" s="85"/>
      <c r="AA124" s="71"/>
      <c r="AB124" s="7"/>
      <c r="AC124" s="85"/>
      <c r="AD124" s="51"/>
      <c r="AE124" s="7"/>
      <c r="AF124" s="85"/>
      <c r="AG124" s="154"/>
      <c r="AH124" s="7"/>
      <c r="AI124" s="85"/>
      <c r="AJ124" s="104"/>
      <c r="AK124" s="7"/>
      <c r="AL124" s="85"/>
      <c r="AM124" s="6">
        <v>14260888.800000001</v>
      </c>
      <c r="AN124" s="111"/>
      <c r="AP124" s="149"/>
      <c r="AR124" s="149"/>
      <c r="AS124" s="29"/>
    </row>
    <row r="125" spans="1:45" ht="16.2" thickBot="1" x14ac:dyDescent="0.35">
      <c r="A125" s="287" t="s">
        <v>21</v>
      </c>
      <c r="B125" s="288"/>
      <c r="C125" s="77">
        <f>SUM(C100:C124)</f>
        <v>3484856.81</v>
      </c>
      <c r="D125" s="152"/>
      <c r="E125" s="50">
        <f>SUM(E100:E124)</f>
        <v>3484856.81</v>
      </c>
      <c r="F125" s="80">
        <f>SUM(F100:F124)</f>
        <v>4604196.53</v>
      </c>
      <c r="G125" s="81"/>
      <c r="H125" s="50">
        <f>SUM(H100:H124)</f>
        <v>4604196.53</v>
      </c>
      <c r="I125" s="139">
        <f>SUM(I100:I124)</f>
        <v>3351315.5</v>
      </c>
      <c r="J125" s="82"/>
      <c r="K125" s="50">
        <f>SUM(K100:K124)</f>
        <v>3351315.5</v>
      </c>
      <c r="L125" s="80">
        <f>SUM(L100:L124)</f>
        <v>5591036.46</v>
      </c>
      <c r="M125" s="50"/>
      <c r="N125" s="50">
        <f>SUM(N100:N124)</f>
        <v>5591036.46</v>
      </c>
      <c r="O125" s="50">
        <f>SUM(O100:O124)</f>
        <v>6185135.8399999999</v>
      </c>
      <c r="P125" s="50"/>
      <c r="Q125" s="50">
        <f>SUM(Q100:Q124)</f>
        <v>6185135.8399999999</v>
      </c>
      <c r="R125" s="50">
        <f>SUM(R100:R124)</f>
        <v>8139609.2800000049</v>
      </c>
      <c r="S125" s="50"/>
      <c r="T125" s="50">
        <f>SUM(T100:T124)</f>
        <v>8139609.2800000049</v>
      </c>
      <c r="U125" s="50">
        <f>SUM(U100:U124)</f>
        <v>11922053.33</v>
      </c>
      <c r="V125" s="50"/>
      <c r="W125" s="50">
        <f>SUM(W100:W124)</f>
        <v>11615446.5</v>
      </c>
      <c r="X125" s="50">
        <f>SUM(X100:X124)</f>
        <v>14294953.799999991</v>
      </c>
      <c r="Y125" s="50"/>
      <c r="Z125" s="50">
        <f>SUM(Z100:Z124)</f>
        <v>14248119.040000001</v>
      </c>
      <c r="AA125" s="50">
        <f>SUM(AA100:AA124)</f>
        <v>12236340.670000002</v>
      </c>
      <c r="AB125" s="50"/>
      <c r="AC125" s="50">
        <f>SUM(AC100:AC124)</f>
        <v>13100285</v>
      </c>
      <c r="AD125" s="170">
        <f>SUM(AD100:AD124)</f>
        <v>11950011.779999999</v>
      </c>
      <c r="AE125" s="50"/>
      <c r="AF125" s="50">
        <f>SUM(AF100:AF124)</f>
        <v>12276141.119999999</v>
      </c>
      <c r="AG125" s="50">
        <f>SUM(AG100:AG124)</f>
        <v>12055055.09</v>
      </c>
      <c r="AH125" s="50"/>
      <c r="AI125" s="50">
        <f>SUM(AI100:AI124)</f>
        <v>12140782</v>
      </c>
      <c r="AJ125" s="50">
        <f>SUM(AJ100:AJ124)</f>
        <v>0</v>
      </c>
      <c r="AK125" s="50"/>
      <c r="AL125" s="50">
        <f>SUM(AL100:AL124)</f>
        <v>13475000</v>
      </c>
      <c r="AM125" s="72">
        <f>AJ125+AG125+AD125+AA125+X125+U125+R125+O125+L125+I125+F125+C125</f>
        <v>93814565.089999989</v>
      </c>
      <c r="AN125" s="111"/>
      <c r="AP125" s="149"/>
      <c r="AR125" s="149"/>
      <c r="AS125" s="29"/>
    </row>
    <row r="126" spans="1:45" x14ac:dyDescent="0.3">
      <c r="B126" s="142" t="s">
        <v>191</v>
      </c>
      <c r="E126" s="28">
        <v>3484856.81</v>
      </c>
      <c r="H126" s="28">
        <v>4604196.53</v>
      </c>
      <c r="K126" s="28">
        <v>3351315.5</v>
      </c>
      <c r="N126" s="28">
        <v>5591036</v>
      </c>
      <c r="Q126" s="28">
        <v>6185136</v>
      </c>
      <c r="T126" s="28">
        <v>8139609.2800000049</v>
      </c>
      <c r="W126" s="28">
        <v>11922053.33</v>
      </c>
      <c r="Z126" s="28">
        <v>14294954</v>
      </c>
      <c r="AC126" s="28">
        <v>12236340.670000002</v>
      </c>
      <c r="AF126" s="28">
        <v>11950011.779999999</v>
      </c>
      <c r="AI126" s="28">
        <v>12055055</v>
      </c>
      <c r="AN126" s="111"/>
      <c r="AP126" s="149"/>
      <c r="AR126" s="149"/>
      <c r="AS126" s="29"/>
    </row>
    <row r="127" spans="1:45" x14ac:dyDescent="0.3">
      <c r="B127" s="142" t="s">
        <v>192</v>
      </c>
      <c r="E127" s="28">
        <f>E126-E125</f>
        <v>0</v>
      </c>
      <c r="H127" s="28">
        <f>H126-H125</f>
        <v>0</v>
      </c>
      <c r="K127" s="28">
        <f>K126-K125</f>
        <v>0</v>
      </c>
      <c r="N127" s="28">
        <f>N126-N125</f>
        <v>-0.4599999999627471</v>
      </c>
      <c r="Q127" s="28">
        <f>Q126-Q125</f>
        <v>0.16000000014901161</v>
      </c>
      <c r="T127" s="28">
        <f>T126-T125</f>
        <v>0</v>
      </c>
      <c r="W127" s="28">
        <f>W126-W125</f>
        <v>306606.83000000007</v>
      </c>
      <c r="Z127" s="28">
        <f>Z126-Z125</f>
        <v>46834.959999999031</v>
      </c>
      <c r="AC127" s="28">
        <f>AC126-AC125</f>
        <v>-863944.32999999821</v>
      </c>
      <c r="AF127" s="28">
        <f>AF126-AF125</f>
        <v>-326129.33999999985</v>
      </c>
      <c r="AI127" s="28">
        <f>AI126-AI125</f>
        <v>-85727</v>
      </c>
      <c r="AN127" s="111"/>
      <c r="AP127" s="149"/>
      <c r="AR127" s="149"/>
      <c r="AS127" s="29"/>
    </row>
    <row r="128" spans="1:45" x14ac:dyDescent="0.3">
      <c r="B128" s="52" t="s">
        <v>193</v>
      </c>
      <c r="E128" s="28">
        <f>E125+E94</f>
        <v>154300155.65762699</v>
      </c>
      <c r="H128" s="28">
        <f>H125+H94</f>
        <v>126875225.89391382</v>
      </c>
      <c r="K128" s="28">
        <f>K125+K94</f>
        <v>129733195.81356789</v>
      </c>
      <c r="N128" s="28">
        <f>N125+N94</f>
        <v>165002930.14462319</v>
      </c>
      <c r="Q128" s="28">
        <f>Q125+Q94</f>
        <v>187893112.29748216</v>
      </c>
      <c r="T128" s="28">
        <f>T125+T94</f>
        <v>200954415.38408929</v>
      </c>
      <c r="W128" s="28">
        <f>W125+W94</f>
        <v>226583176.94995868</v>
      </c>
      <c r="Z128" s="28">
        <f>Z125+Z94</f>
        <v>240101523.25614578</v>
      </c>
      <c r="AC128" s="28">
        <f>AC125+AC94</f>
        <v>220288309.82109892</v>
      </c>
      <c r="AF128" s="28">
        <f>AF125+AF94</f>
        <v>219487977.70533288</v>
      </c>
      <c r="AI128" s="28">
        <f>AI125+AI94</f>
        <v>205748860.33880517</v>
      </c>
    </row>
    <row r="129" spans="2:43" x14ac:dyDescent="0.3">
      <c r="B129" s="52" t="s">
        <v>194</v>
      </c>
      <c r="E129" s="28" t="e">
        <f>E126+#REF!</f>
        <v>#REF!</v>
      </c>
      <c r="H129" s="28" t="e">
        <f>H126+#REF!</f>
        <v>#REF!</v>
      </c>
      <c r="K129" s="28" t="e">
        <f>K126+#REF!</f>
        <v>#REF!</v>
      </c>
      <c r="N129" s="28" t="e">
        <f>N126+#REF!</f>
        <v>#REF!</v>
      </c>
      <c r="Q129" s="28" t="e">
        <f>Q126+#REF!</f>
        <v>#REF!</v>
      </c>
      <c r="T129" s="28" t="e">
        <f>T126+#REF!</f>
        <v>#REF!</v>
      </c>
      <c r="W129" s="28" t="e">
        <f>W126+#REF!</f>
        <v>#REF!</v>
      </c>
      <c r="Z129" s="28" t="e">
        <f>Z126+#REF!</f>
        <v>#REF!</v>
      </c>
      <c r="AC129" s="28" t="e">
        <f>AC126+#REF!</f>
        <v>#REF!</v>
      </c>
      <c r="AF129" s="28" t="e">
        <f>AF126+#REF!</f>
        <v>#REF!</v>
      </c>
      <c r="AI129" s="28" t="e">
        <f>AI126+#REF!</f>
        <v>#REF!</v>
      </c>
      <c r="AQ129"/>
    </row>
    <row r="130" spans="2:43" x14ac:dyDescent="0.3">
      <c r="B130" s="142" t="s">
        <v>192</v>
      </c>
      <c r="D130" s="184" t="e">
        <f>E130/E128</f>
        <v>#REF!</v>
      </c>
      <c r="E130" s="28" t="e">
        <f>E129-E128</f>
        <v>#REF!</v>
      </c>
      <c r="G130" s="184" t="e">
        <f>H130/H128</f>
        <v>#REF!</v>
      </c>
      <c r="H130" s="28" t="e">
        <f>H129-H128</f>
        <v>#REF!</v>
      </c>
      <c r="J130" s="184" t="e">
        <f>K130/K128</f>
        <v>#REF!</v>
      </c>
      <c r="K130" s="28" t="e">
        <f>K129-K128</f>
        <v>#REF!</v>
      </c>
      <c r="M130" s="184" t="e">
        <f>N130/N128</f>
        <v>#REF!</v>
      </c>
      <c r="N130" s="28" t="e">
        <f>N129-N128</f>
        <v>#REF!</v>
      </c>
      <c r="P130" s="184" t="e">
        <f>Q130/Q128</f>
        <v>#REF!</v>
      </c>
      <c r="Q130" s="28" t="e">
        <f>Q129-Q128</f>
        <v>#REF!</v>
      </c>
      <c r="S130" s="184" t="e">
        <f>T130/T128</f>
        <v>#REF!</v>
      </c>
      <c r="T130" s="28" t="e">
        <f>T129-T128</f>
        <v>#REF!</v>
      </c>
      <c r="V130" s="184" t="e">
        <f>W130/W128</f>
        <v>#REF!</v>
      </c>
      <c r="W130" s="28" t="e">
        <f>W129-W128</f>
        <v>#REF!</v>
      </c>
      <c r="Y130" s="184" t="e">
        <f>Z130/Z128</f>
        <v>#REF!</v>
      </c>
      <c r="Z130" s="28" t="e">
        <f>Z129-Z128</f>
        <v>#REF!</v>
      </c>
      <c r="AB130" s="184" t="e">
        <f>AC130/AC128</f>
        <v>#REF!</v>
      </c>
      <c r="AC130" s="28" t="e">
        <f>AC129-AC128</f>
        <v>#REF!</v>
      </c>
      <c r="AE130" s="184" t="e">
        <f>AF130/AF128</f>
        <v>#REF!</v>
      </c>
      <c r="AF130" s="28" t="e">
        <f>AF129-AF128</f>
        <v>#REF!</v>
      </c>
      <c r="AH130" s="184" t="e">
        <f>AI130/AI128</f>
        <v>#REF!</v>
      </c>
      <c r="AI130" s="28" t="e">
        <f>AI129-AI128</f>
        <v>#REF!</v>
      </c>
      <c r="AQ130"/>
    </row>
  </sheetData>
  <autoFilter ref="A3:AV94" xr:uid="{00000000-0009-0000-0000-000005000000}"/>
  <mergeCells count="3">
    <mergeCell ref="K1:Q2"/>
    <mergeCell ref="A94:B94"/>
    <mergeCell ref="A125:B1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Growth %</vt:lpstr>
      <vt:lpstr>Share of Month</vt:lpstr>
      <vt:lpstr>Budget 2026 per month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2025-12-31T12:13:35Z</dcterms:modified>
</cp:coreProperties>
</file>